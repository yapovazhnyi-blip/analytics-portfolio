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info" sheetId="1" r:id="rId4"/>
    <sheet state="visible" name="filtering_data" sheetId="2" r:id="rId5"/>
    <sheet state="visible" name="Sum_of_sold_categories" sheetId="3" r:id="rId6"/>
    <sheet state="visible" name="info_for_total_revenue_quantaty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<sst xmlns="http://schemas.openxmlformats.org/spreadsheetml/2006/main" count="555" uniqueCount="335">
  <si>
    <t>Order_ID</t>
  </si>
  <si>
    <t>Order_Date</t>
  </si>
  <si>
    <t>Customer_ID</t>
  </si>
  <si>
    <t>Product</t>
  </si>
  <si>
    <t>Category</t>
  </si>
  <si>
    <t>Quantity</t>
  </si>
  <si>
    <t>Price</t>
  </si>
  <si>
    <t>Revenue</t>
  </si>
  <si>
    <t>Country</t>
  </si>
  <si>
    <t>ORD-1001</t>
  </si>
  <si>
    <t>CUST-001</t>
  </si>
  <si>
    <t>Wireless Mouse</t>
  </si>
  <si>
    <t>Electronics</t>
  </si>
  <si>
    <t>Germany</t>
  </si>
  <si>
    <t>ORD-1002</t>
  </si>
  <si>
    <t>CUST-002</t>
  </si>
  <si>
    <t>Bluetooth Headphones</t>
  </si>
  <si>
    <t>France</t>
  </si>
  <si>
    <t>ORD-1003</t>
  </si>
  <si>
    <t>CUST-003</t>
  </si>
  <si>
    <t>Cotton T-Shirt</t>
  </si>
  <si>
    <t>Clothing</t>
  </si>
  <si>
    <t>Spain</t>
  </si>
  <si>
    <t>ORD-1004</t>
  </si>
  <si>
    <t>CUST-004</t>
  </si>
  <si>
    <t>Running Shoes</t>
  </si>
  <si>
    <t>Footwear</t>
  </si>
  <si>
    <t>Italy</t>
  </si>
  <si>
    <t>ORD-1005</t>
  </si>
  <si>
    <t>Laptop Stand</t>
  </si>
  <si>
    <t>ORD-1006</t>
  </si>
  <si>
    <t>CUST-005</t>
  </si>
  <si>
    <t>Coffee Maker</t>
  </si>
  <si>
    <t>Home Appliances</t>
  </si>
  <si>
    <t>Netherlands</t>
  </si>
  <si>
    <t>ORD-1007</t>
  </si>
  <si>
    <t>CUST-006</t>
  </si>
  <si>
    <t>Office Chair</t>
  </si>
  <si>
    <t>Furniture</t>
  </si>
  <si>
    <t>Poland</t>
  </si>
  <si>
    <t>ORD-1008</t>
  </si>
  <si>
    <t>Jeans</t>
  </si>
  <si>
    <t>ORD-1009</t>
  </si>
  <si>
    <t>CUST-007</t>
  </si>
  <si>
    <t>Smart Watch</t>
  </si>
  <si>
    <t>Sweden</t>
  </si>
  <si>
    <t>ORD-1010</t>
  </si>
  <si>
    <t>CUST-008</t>
  </si>
  <si>
    <t>Blender</t>
  </si>
  <si>
    <t>Austria</t>
  </si>
  <si>
    <t>ORD-1011</t>
  </si>
  <si>
    <t>Wireless Keyboard</t>
  </si>
  <si>
    <t>ORD-1012</t>
  </si>
  <si>
    <t>CUST-009</t>
  </si>
  <si>
    <t>Winter Jacket</t>
  </si>
  <si>
    <t>Finland</t>
  </si>
  <si>
    <t>ORD-1013</t>
  </si>
  <si>
    <t>Sneakers</t>
  </si>
  <si>
    <t>ORD-1014</t>
  </si>
  <si>
    <t>CUST-010</t>
  </si>
  <si>
    <t>Desk Lamp</t>
  </si>
  <si>
    <t>Home Decor</t>
  </si>
  <si>
    <t>Belgium</t>
  </si>
  <si>
    <t>ORD-1015</t>
  </si>
  <si>
    <t>USB-C Hub</t>
  </si>
  <si>
    <t>ORD-1016</t>
  </si>
  <si>
    <t>Bookshelf</t>
  </si>
  <si>
    <t>ORD-1017</t>
  </si>
  <si>
    <t>CUST-011</t>
  </si>
  <si>
    <t>Air Fryer</t>
  </si>
  <si>
    <t>Denmark</t>
  </si>
  <si>
    <t>ORD-1018</t>
  </si>
  <si>
    <t>Hoodie</t>
  </si>
  <si>
    <t>ORD-1019</t>
  </si>
  <si>
    <t>CUST-012</t>
  </si>
  <si>
    <t>Tablet</t>
  </si>
  <si>
    <t>Ireland</t>
  </si>
  <si>
    <t>ORD-1020</t>
  </si>
  <si>
    <t>Vacuum Cleaner</t>
  </si>
  <si>
    <t>ORD-1021</t>
  </si>
  <si>
    <t>Noise Cancelling Headphones</t>
  </si>
  <si>
    <t>ORD-1022</t>
  </si>
  <si>
    <t>CUST-013</t>
  </si>
  <si>
    <t>Leather Belt</t>
  </si>
  <si>
    <t>Accessories</t>
  </si>
  <si>
    <t>Portugal</t>
  </si>
  <si>
    <t>ORD-1023</t>
  </si>
  <si>
    <t>Formal Shoes</t>
  </si>
  <si>
    <t>ORD-1024</t>
  </si>
  <si>
    <t>CUST-014</t>
  </si>
  <si>
    <t>Wall Clock</t>
  </si>
  <si>
    <t>Czech Republic</t>
  </si>
  <si>
    <t>ORD-1025</t>
  </si>
  <si>
    <t>External SSD</t>
  </si>
  <si>
    <t>ORD-1026</t>
  </si>
  <si>
    <t>CUST-015</t>
  </si>
  <si>
    <t>Office Desk</t>
  </si>
  <si>
    <t>Slovakia</t>
  </si>
  <si>
    <t>ORD-1027</t>
  </si>
  <si>
    <t>Summer Dress</t>
  </si>
  <si>
    <t>ORD-1028</t>
  </si>
  <si>
    <t>Electric Kettle</t>
  </si>
  <si>
    <t>ORD-1029</t>
  </si>
  <si>
    <t>CUST-016</t>
  </si>
  <si>
    <t>Backpack</t>
  </si>
  <si>
    <t>Hungary</t>
  </si>
  <si>
    <t>ORD-1030</t>
  </si>
  <si>
    <t>Webcam</t>
  </si>
  <si>
    <t>ORD-1031</t>
  </si>
  <si>
    <t>CUST-017</t>
  </si>
  <si>
    <t>Wireless Charger</t>
  </si>
  <si>
    <t>ORD-1032</t>
  </si>
  <si>
    <t>CUST-018</t>
  </si>
  <si>
    <t>Graphic T-Shirt</t>
  </si>
  <si>
    <t>ORD-1033</t>
  </si>
  <si>
    <t>Microwave Oven</t>
  </si>
  <si>
    <t>ORD-1034</t>
  </si>
  <si>
    <t>CUST-019</t>
  </si>
  <si>
    <t>Desk Organizer</t>
  </si>
  <si>
    <t>Office Supplies</t>
  </si>
  <si>
    <t>ORD-1035</t>
  </si>
  <si>
    <t>Mechanical Keyboard</t>
  </si>
  <si>
    <t>ORD-1036</t>
  </si>
  <si>
    <t>CUST-020</t>
  </si>
  <si>
    <t>Running Shorts</t>
  </si>
  <si>
    <t>ORD-1037</t>
  </si>
  <si>
    <t>CUST-021</t>
  </si>
  <si>
    <t>Bookshelf Lamp</t>
  </si>
  <si>
    <t>ORD-1038</t>
  </si>
  <si>
    <t>Fitness Tracker</t>
  </si>
  <si>
    <t>ORD-1039</t>
  </si>
  <si>
    <t>CUST-022</t>
  </si>
  <si>
    <t>Office Desk Chair</t>
  </si>
  <si>
    <t>ORD-1040</t>
  </si>
  <si>
    <t>CUST-023</t>
  </si>
  <si>
    <t>Espresso Machine</t>
  </si>
  <si>
    <t>ORD-1041</t>
  </si>
  <si>
    <t>Denim Jacket</t>
  </si>
  <si>
    <t>ORD-1042</t>
  </si>
  <si>
    <t>CUST-024</t>
  </si>
  <si>
    <t>HDMI Cable</t>
  </si>
  <si>
    <t>ORD-1043</t>
  </si>
  <si>
    <t>CUST-025</t>
  </si>
  <si>
    <t>Wall Shelf</t>
  </si>
  <si>
    <t>ORD-1044</t>
  </si>
  <si>
    <t>Rice Cooker</t>
  </si>
  <si>
    <t>ORD-1045</t>
  </si>
  <si>
    <t>Wireless Earbuds</t>
  </si>
  <si>
    <t>ORD-1046</t>
  </si>
  <si>
    <t>CUST-026</t>
  </si>
  <si>
    <t>Leather Wallet</t>
  </si>
  <si>
    <t>ORD-1047</t>
  </si>
  <si>
    <t>CUST-027</t>
  </si>
  <si>
    <t>Gaming Mousepad</t>
  </si>
  <si>
    <t>ORD-1048</t>
  </si>
  <si>
    <t>Trail Running Shoes</t>
  </si>
  <si>
    <t>ORD-1049</t>
  </si>
  <si>
    <t>CUST-028</t>
  </si>
  <si>
    <t>Standing Desk</t>
  </si>
  <si>
    <t>Slovenia</t>
  </si>
  <si>
    <t>ORD-1050</t>
  </si>
  <si>
    <t>Drawer Cabinet</t>
  </si>
  <si>
    <t>ORD-1051</t>
  </si>
  <si>
    <t>CUST-029</t>
  </si>
  <si>
    <t>Smart Light Bulb</t>
  </si>
  <si>
    <t>ORD-1052</t>
  </si>
  <si>
    <t>CUST-030</t>
  </si>
  <si>
    <t>Yoga Mat</t>
  </si>
  <si>
    <t>Sports</t>
  </si>
  <si>
    <t>ORD-1053</t>
  </si>
  <si>
    <t>Noise Cancelling Earphones</t>
  </si>
  <si>
    <t>ORD-1054</t>
  </si>
  <si>
    <t>CUST-031</t>
  </si>
  <si>
    <t>Throw Pillow</t>
  </si>
  <si>
    <t>ORD-1055</t>
  </si>
  <si>
    <t>CUST-032</t>
  </si>
  <si>
    <t>Electric Toothbrush</t>
  </si>
  <si>
    <t>Personal Care</t>
  </si>
  <si>
    <t>ORD-1056</t>
  </si>
  <si>
    <t>CUST-033</t>
  </si>
  <si>
    <t>Smartphone Tripod</t>
  </si>
  <si>
    <t>ORD-1057</t>
  </si>
  <si>
    <t>CUST-034</t>
  </si>
  <si>
    <t>Water Bottle</t>
  </si>
  <si>
    <t>ORD-1058</t>
  </si>
  <si>
    <t>Air Purifier</t>
  </si>
  <si>
    <t>ORD-1059</t>
  </si>
  <si>
    <t>CUST-035</t>
  </si>
  <si>
    <t>Desk Calendar</t>
  </si>
  <si>
    <t>ORD-1060</t>
  </si>
  <si>
    <t>CUST-036</t>
  </si>
  <si>
    <t>Laptop Backpack</t>
  </si>
  <si>
    <t>ORD-1061</t>
  </si>
  <si>
    <t>CUST-037</t>
  </si>
  <si>
    <t>Floor Lamp</t>
  </si>
  <si>
    <t>ORD-1062</t>
  </si>
  <si>
    <t>Bluetooth Speaker</t>
  </si>
  <si>
    <t>ORD-1063</t>
  </si>
  <si>
    <t>CUST-038</t>
  </si>
  <si>
    <t>Office Whiteboard</t>
  </si>
  <si>
    <t>ORD-1064</t>
  </si>
  <si>
    <t>CUST-039</t>
  </si>
  <si>
    <t>Coffee Grinder</t>
  </si>
  <si>
    <t>ORD-1065</t>
  </si>
  <si>
    <t>CUST-040</t>
  </si>
  <si>
    <t>Sunglasses</t>
  </si>
  <si>
    <t>ORD-1066</t>
  </si>
  <si>
    <t>CUST-041</t>
  </si>
  <si>
    <t>Power Bank</t>
  </si>
  <si>
    <t>ORD-1067</t>
  </si>
  <si>
    <t>Casual Sneakers</t>
  </si>
  <si>
    <t>ORD-1068</t>
  </si>
  <si>
    <t>CUST-042</t>
  </si>
  <si>
    <t>Kitchen Scale</t>
  </si>
  <si>
    <t>ORD-1069</t>
  </si>
  <si>
    <t>CUST-043</t>
  </si>
  <si>
    <t>Gym Bag</t>
  </si>
  <si>
    <t>ORD-1070</t>
  </si>
  <si>
    <t>CUST-044</t>
  </si>
  <si>
    <t>Monitor Stand</t>
  </si>
  <si>
    <t>ORD-1071</t>
  </si>
  <si>
    <t>CUST-045</t>
  </si>
  <si>
    <t>Hair Dryer</t>
  </si>
  <si>
    <t>ORD-1072</t>
  </si>
  <si>
    <t>CUST-046</t>
  </si>
  <si>
    <t>Wireless Router</t>
  </si>
  <si>
    <t>ORD-1073</t>
  </si>
  <si>
    <t>CUST-047</t>
  </si>
  <si>
    <t>Bedside Table</t>
  </si>
  <si>
    <t>ORD-1074</t>
  </si>
  <si>
    <t>CUST-048</t>
  </si>
  <si>
    <t>Digital Alarm Clock</t>
  </si>
  <si>
    <t>ORD-1075</t>
  </si>
  <si>
    <t>USB Flash Drive</t>
  </si>
  <si>
    <t>ORD-1076</t>
  </si>
  <si>
    <t>CUST-049</t>
  </si>
  <si>
    <t>Thermal Mug</t>
  </si>
  <si>
    <t>ORD-1077</t>
  </si>
  <si>
    <t>CUST-050</t>
  </si>
  <si>
    <t>Smart Plug</t>
  </si>
  <si>
    <t>ORD-1078</t>
  </si>
  <si>
    <t>CUST-051</t>
  </si>
  <si>
    <t>Office Filing Box</t>
  </si>
  <si>
    <t>ORD-1079</t>
  </si>
  <si>
    <t>Leather Boots</t>
  </si>
  <si>
    <t>ORD-1080</t>
  </si>
  <si>
    <t>CUST-052</t>
  </si>
  <si>
    <t>Electric Fan</t>
  </si>
  <si>
    <t>ORD-1081</t>
  </si>
  <si>
    <t>CUST-053</t>
  </si>
  <si>
    <t>Wireless Presentation Remote</t>
  </si>
  <si>
    <t>ORD-1082</t>
  </si>
  <si>
    <t>CUST-054</t>
  </si>
  <si>
    <t>Canvas Wall Art</t>
  </si>
  <si>
    <t>ORD-1083</t>
  </si>
  <si>
    <t>Drawer Organizer</t>
  </si>
  <si>
    <t>ORD-1084</t>
  </si>
  <si>
    <t>CUST-055</t>
  </si>
  <si>
    <t>Smart Thermostat</t>
  </si>
  <si>
    <t>ORD-1085</t>
  </si>
  <si>
    <t>CUST-056</t>
  </si>
  <si>
    <t>Running Cap</t>
  </si>
  <si>
    <t>ORD-1086</t>
  </si>
  <si>
    <t>CUST-057</t>
  </si>
  <si>
    <t>LED Desk Light</t>
  </si>
  <si>
    <t>ORD-1087</t>
  </si>
  <si>
    <t>CUST-058</t>
  </si>
  <si>
    <t>Wireless Gaming Headset</t>
  </si>
  <si>
    <t>ORD-1088</t>
  </si>
  <si>
    <t>CUST-059</t>
  </si>
  <si>
    <t>Kitchen Storage Set</t>
  </si>
  <si>
    <t>ORD-1089</t>
  </si>
  <si>
    <t>CUST-060</t>
  </si>
  <si>
    <t>Office Footrest</t>
  </si>
  <si>
    <t>ORD-1090</t>
  </si>
  <si>
    <t>CUST-061</t>
  </si>
  <si>
    <t>Smart Scale</t>
  </si>
  <si>
    <t>ORD-1091</t>
  </si>
  <si>
    <t>CUST-062</t>
  </si>
  <si>
    <t>Laptop Cooling Pad</t>
  </si>
  <si>
    <t>ORD-1092</t>
  </si>
  <si>
    <t>CUST-063</t>
  </si>
  <si>
    <t>Decorative Mirror</t>
  </si>
  <si>
    <t>ORD-1093</t>
  </si>
  <si>
    <t>CUST-064</t>
  </si>
  <si>
    <t>Adjustable Dumbbells</t>
  </si>
  <si>
    <t>ORD-1094</t>
  </si>
  <si>
    <t>CUST-065</t>
  </si>
  <si>
    <t>Cordless Drill</t>
  </si>
  <si>
    <t>ORD-1095</t>
  </si>
  <si>
    <t>CUST-066</t>
  </si>
  <si>
    <t>USB Desk Fan</t>
  </si>
  <si>
    <t>ORD-1096</t>
  </si>
  <si>
    <t>CUST-067</t>
  </si>
  <si>
    <t>Travel Organizer</t>
  </si>
  <si>
    <t>ORD-1097</t>
  </si>
  <si>
    <t>CUST-068</t>
  </si>
  <si>
    <t>Smart Door Sensor</t>
  </si>
  <si>
    <t>ORD-1098</t>
  </si>
  <si>
    <t>CUST-069</t>
  </si>
  <si>
    <t>Minimalist Wall Shelf</t>
  </si>
  <si>
    <t>ORD-1099</t>
  </si>
  <si>
    <t>CUST-070</t>
  </si>
  <si>
    <t>Wireless Mouse Pad</t>
  </si>
  <si>
    <t>ORD-1100</t>
  </si>
  <si>
    <t>CUST-071</t>
  </si>
  <si>
    <t>Resistance Bands Set</t>
  </si>
  <si>
    <t>Category Name</t>
  </si>
  <si>
    <t>Count sold</t>
  </si>
  <si>
    <t>Total Revenue</t>
  </si>
  <si>
    <t>Products bought by customer</t>
  </si>
  <si>
    <t>Categories sold</t>
  </si>
  <si>
    <t>Products sold</t>
  </si>
  <si>
    <t>Categories</t>
  </si>
  <si>
    <t>Amount of sold</t>
  </si>
  <si>
    <t>Grand Total</t>
  </si>
  <si>
    <t>SUM of Quantity</t>
  </si>
  <si>
    <t>SUM of Revenue</t>
  </si>
  <si>
    <t>Austria Total</t>
  </si>
  <si>
    <t>Belgium Total</t>
  </si>
  <si>
    <t>Czech Republic Total</t>
  </si>
  <si>
    <t>Denmark Total</t>
  </si>
  <si>
    <t>Finland Total</t>
  </si>
  <si>
    <t>France Total</t>
  </si>
  <si>
    <t>Germany Total</t>
  </si>
  <si>
    <t>Hungary Total</t>
  </si>
  <si>
    <t>Ireland Total</t>
  </si>
  <si>
    <t>Italy Total</t>
  </si>
  <si>
    <t>Netherlands Total</t>
  </si>
  <si>
    <t>Poland Total</t>
  </si>
  <si>
    <t>Portugal Total</t>
  </si>
  <si>
    <t>Slovakia Total</t>
  </si>
  <si>
    <t>Slovenia Total</t>
  </si>
  <si>
    <t>Spain Total</t>
  </si>
  <si>
    <t>Sweden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</si>
</sst>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$]#,##0.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5" xfId="0" applyAlignment="1" applyBorder="1" applyFont="1" applyNumberFormat="1">
      <alignment shrinkToFit="0" vertical="center" wrapText="1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</dxfs>
  <tableStyles count="4">
    <tableStyle count="4" pivot="0" name="general_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tering_dat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iltering_data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filtering_data-style 3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Sold categories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Sum_of_sold_categories!$B$1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Sum_of_sold_categories!$A$2:$A$11</c:f>
            </c:strRef>
          </c:cat>
          <c:val>
            <c:numRef>
              <c:f>Sum_of_sold_categories!$B$2:$B$11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Total Revenue by Countries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info_for_total_revenue_quantaty!$B$1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info_for_total_revenue_quantaty!$A$2:$A$18</c:f>
            </c:strRef>
          </c:cat>
          <c:val>
            <c:numRef>
              <c:f>info_for_total_revenue_quantaty!$B$2:$B$18</c:f>
              <c:numCache/>
            </c:numRef>
          </c:val>
        </c:ser>
        <c:ser>
          <c:idx val="1"/>
          <c:order val="1"/>
          <c:tx>
            <c:strRef>
              <c:f>info_for_total_revenue_quantaty!$D$1</c:f>
            </c:strRef>
          </c:tx>
          <c:cat>
            <c:strRef>
              <c:f>info_for_total_revenue_quantaty!$A$2:$A$18</c:f>
            </c:strRef>
          </c:cat>
          <c:val>
            <c:numRef>
              <c:f>info_for_total_revenue_quantaty!$D$2:$D$18</c:f>
              <c:numCache/>
            </c:numRef>
          </c:val>
        </c:ser>
        <c:axId val="1364383465"/>
        <c:axId val="1020525760"/>
      </c:barChart>
      <c:catAx>
        <c:axId val="13643834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525760"/>
      </c:catAx>
      <c:valAx>
        <c:axId val="10205257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3834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0</xdr:row>
      <xdr:rowOff>19050</xdr:rowOff>
    </xdr:from>
    <xdr:ext cx="5715000" cy="3724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general_info"/>
  </cacheSource>
  <cacheFields>
    <cacheField name="Order_ID" numFmtId="0">
      <sharedItems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</sharedItems>
    </cacheField>
    <cacheField name="Order_Date" numFmtId="164">
      <sharedItems containsSemiMixedTypes="0" containsDate="1" containsString="0">
        <d v="2024-01-05T00:00:00Z"/>
        <d v="2024-01-06T00:00:00Z"/>
        <d v="2024-01-07T00:00:00Z"/>
        <d v="2024-01-10T00:00:00Z"/>
        <d v="2024-01-12T00:00:00Z"/>
        <d v="2024-01-15T00:00:00Z"/>
        <d v="2024-01-18T00:00:00Z"/>
        <d v="2024-01-20T00:00:00Z"/>
        <d v="2024-01-22T00:00:00Z"/>
        <d v="2024-01-25T00:00:00Z"/>
        <d v="2024-02-02T00:00:00Z"/>
        <d v="2024-02-05T00:00:00Z"/>
        <d v="2024-02-07T00:00:00Z"/>
        <d v="2024-02-10T00:00:00Z"/>
        <d v="2024-02-12T00:00:00Z"/>
        <d v="2024-02-15T00:00:00Z"/>
        <d v="2024-02-18T00:00:00Z"/>
        <d v="2024-02-20T00:00:00Z"/>
        <d v="2024-02-22T00:00:00Z"/>
        <d v="2024-02-25T00:00:00Z"/>
        <d v="2024-03-03T00:00:00Z"/>
        <d v="2024-03-05T00:00:00Z"/>
        <d v="2024-03-07T00:00:00Z"/>
        <d v="2024-03-10T00:00:00Z"/>
        <d v="2024-03-12T00:00:00Z"/>
        <d v="2024-03-15T00:00:00Z"/>
        <d v="2024-03-18T00:00:00Z"/>
        <d v="2024-03-20T00:00:00Z"/>
        <d v="2024-03-22T00:00:00Z"/>
        <d v="2024-03-25T00:00:00Z"/>
        <d v="2024-03-27T00:00:00Z"/>
        <d v="2024-03-28T00:00:00Z"/>
        <d v="2024-03-29T00:00:00Z"/>
        <d v="2024-03-30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</sharedItems>
    </cacheField>
    <cacheField name="Customer_ID" numFmtId="0">
      <sharedItems>
        <s v="CUST-001"/>
        <s v="CUST-002"/>
        <s v="CUST-003"/>
        <s v="CUST-004"/>
        <s v="CUST-005"/>
        <s v="CUST-006"/>
        <s v="CUST-007"/>
        <s v="CUST-008"/>
        <s v="CUST-009"/>
        <s v="CUST-010"/>
        <s v="CUST-011"/>
        <s v="CUST-012"/>
        <s v="CUST-013"/>
        <s v="CUST-014"/>
        <s v="CUST-015"/>
        <s v="CUST-016"/>
        <s v="CUST-017"/>
        <s v="CUST-018"/>
        <s v="CUST-019"/>
        <s v="CUST-020"/>
        <s v="CUST-021"/>
        <s v="CUST-022"/>
        <s v="CUST-023"/>
        <s v="CUST-024"/>
        <s v="CUST-025"/>
        <s v="CUST-026"/>
        <s v="CUST-027"/>
        <s v="CUST-028"/>
        <s v="CUST-029"/>
        <s v="CUST-030"/>
        <s v="CUST-031"/>
        <s v="CUST-032"/>
        <s v="CUST-033"/>
        <s v="CUST-034"/>
        <s v="CUST-035"/>
        <s v="CUST-036"/>
        <s v="CUST-037"/>
        <s v="CUST-038"/>
        <s v="CUST-039"/>
        <s v="CUST-040"/>
        <s v="CUST-041"/>
        <s v="CUST-042"/>
        <s v="CUST-043"/>
        <s v="CUST-044"/>
        <s v="CUST-045"/>
        <s v="CUST-046"/>
        <s v="CUST-047"/>
        <s v="CUST-048"/>
        <s v="CUST-049"/>
        <s v="CUST-050"/>
        <s v="CUST-051"/>
        <s v="CUST-052"/>
        <s v="CUST-053"/>
        <s v="CUST-054"/>
        <s v="CUST-055"/>
        <s v="CUST-056"/>
        <s v="CUST-057"/>
        <s v="CUST-058"/>
        <s v="CUST-059"/>
        <s v="CUST-060"/>
        <s v="CUST-061"/>
        <s v="CUST-062"/>
        <s v="CUST-063"/>
        <s v="CUST-064"/>
        <s v="CUST-065"/>
        <s v="CUST-066"/>
        <s v="CUST-067"/>
        <s v="CUST-068"/>
        <s v="CUST-069"/>
        <s v="CUST-070"/>
        <s v="CUST-071"/>
      </sharedItems>
    </cacheField>
    <cacheField name="Product" numFmtId="0">
      <sharedItems>
        <s v="Wireless Mouse"/>
        <s v="Bluetooth Headphones"/>
        <s v="Cotton T-Shirt"/>
        <s v="Running Shoes"/>
        <s v="Laptop Stand"/>
        <s v="Coffee Maker"/>
        <s v="Office Chair"/>
        <s v="Jeans"/>
        <s v="Smart Watch"/>
        <s v="Blender"/>
        <s v="Wireless Keyboard"/>
        <s v="Winter Jacket"/>
        <s v="Sneakers"/>
        <s v="Desk Lamp"/>
        <s v="USB-C Hub"/>
        <s v="Bookshelf"/>
        <s v="Air Fryer"/>
        <s v="Hoodie"/>
        <s v="Tablet"/>
        <s v="Vacuum Cleaner"/>
        <s v="Noise Cancelling Headphones"/>
        <s v="Leather Belt"/>
        <s v="Formal Shoes"/>
        <s v="Wall Clock"/>
        <s v="External SSD"/>
        <s v="Office Desk"/>
        <s v="Summer Dress"/>
        <s v="Electric Kettle"/>
        <s v="Backpack"/>
        <s v="Webcam"/>
        <s v="Wireless Charger"/>
        <s v="Graphic T-Shirt"/>
        <s v="Microwave Oven"/>
        <s v="Desk Organizer"/>
        <s v="Mechanical Keyboard"/>
        <s v="Running Shorts"/>
        <s v="Bookshelf Lamp"/>
        <s v="Fitness Tracker"/>
        <s v="Office Desk Chair"/>
        <s v="Espresso Machine"/>
        <s v="Denim Jacket"/>
        <s v="HDMI Cable"/>
        <s v="Wall Shelf"/>
        <s v="Rice Cooker"/>
        <s v="Wireless Earbuds"/>
        <s v="Leather Wallet"/>
        <s v="Gaming Mousepad"/>
        <s v="Trail Running Shoes"/>
        <s v="Standing Desk"/>
        <s v="Drawer Cabinet"/>
        <s v="Smart Light Bulb"/>
        <s v="Yoga Mat"/>
        <s v="Noise Cancelling Earphones"/>
        <s v="Throw Pillow"/>
        <s v="Electric Toothbrush"/>
        <s v="Smartphone Tripod"/>
        <s v="Water Bottle"/>
        <s v="Air Purifier"/>
        <s v="Desk Calendar"/>
        <s v="Laptop Backpack"/>
        <s v="Floor Lamp"/>
        <s v="Bluetooth Speaker"/>
        <s v="Office Whiteboard"/>
        <s v="Coffee Grinder"/>
        <s v="Sunglasses"/>
        <s v="Power Bank"/>
        <s v="Casual Sneakers"/>
        <s v="Kitchen Scale"/>
        <s v="Gym Bag"/>
        <s v="Monitor Stand"/>
        <s v="Hair Dryer"/>
        <s v="Wireless Router"/>
        <s v="Bedside Table"/>
        <s v="Digital Alarm Clock"/>
        <s v="USB Flash Drive"/>
        <s v="Thermal Mug"/>
        <s v="Smart Plug"/>
        <s v="Office Filing Box"/>
        <s v="Leather Boots"/>
        <s v="Electric Fan"/>
        <s v="Wireless Presentation Remote"/>
        <s v="Canvas Wall Art"/>
        <s v="Drawer Organizer"/>
        <s v="Smart Thermostat"/>
        <s v="Running Cap"/>
        <s v="LED Desk Light"/>
        <s v="Wireless Gaming Headset"/>
        <s v="Kitchen Storage Set"/>
        <s v="Office Footrest"/>
        <s v="Smart Scale"/>
        <s v="Laptop Cooling Pad"/>
        <s v="Decorative Mirror"/>
        <s v="Adjustable Dumbbells"/>
        <s v="Cordless Drill"/>
        <s v="USB Desk Fan"/>
        <s v="Travel Organizer"/>
        <s v="Smart Door Sensor"/>
        <s v="Minimalist Wall Shelf"/>
        <s v="Wireless Mouse Pad"/>
        <s v="Resistance Bands Set"/>
      </sharedItems>
    </cacheField>
    <cacheField name="Category" numFmtId="0">
      <sharedItems>
        <s v="Electronics"/>
        <s v="Clothing"/>
        <s v="Footwear"/>
        <s v="Home Appliances"/>
        <s v="Furniture"/>
        <s v="Home Decor"/>
        <s v="Accessories"/>
        <s v="Office Supplies"/>
        <s v="Sports"/>
        <s v="Personal Care"/>
      </sharedItems>
    </cacheField>
    <cacheField name="Quantity" numFmtId="0">
      <sharedItems containsSemiMixedTypes="0" containsString="0" containsNumber="1" containsInteger="1">
        <n v="2.0"/>
        <n v="5.0"/>
        <n v="3.0"/>
        <n v="4.0"/>
        <n v="1.0"/>
        <n v="7.0"/>
      </sharedItems>
    </cacheField>
    <cacheField name="Price" numFmtId="0">
      <sharedItems containsSemiMixedTypes="0" containsString="0" containsNumber="1" containsInteger="1">
        <n v="25.0"/>
        <n v="80.0"/>
        <n v="20.0"/>
        <n v="120.0"/>
        <n v="45.0"/>
        <n v="150.0"/>
        <n v="300.0"/>
        <n v="55.0"/>
        <n v="200.0"/>
        <n v="90.0"/>
        <n v="60.0"/>
        <n v="180.0"/>
        <n v="95.0"/>
        <n v="35.0"/>
        <n v="40.0"/>
        <n v="220.0"/>
        <n v="160.0"/>
        <n v="65.0"/>
        <n v="350.0"/>
        <n v="280.0"/>
        <n v="250.0"/>
        <n v="30.0"/>
        <n v="140.0"/>
        <n v="420.0"/>
        <n v="70.0"/>
        <n v="75.0"/>
        <n v="110.0"/>
        <n v="210.0"/>
        <n v="130.0"/>
        <n v="390.0"/>
        <n v="15.0"/>
        <n v="135.0"/>
        <n v="520.0"/>
        <n v="260.0"/>
        <n v="28.0"/>
        <n v="18.0"/>
        <n v="85.0"/>
        <n v="190.0"/>
        <n v="185.0"/>
        <n v="240.0"/>
        <n v="320.0"/>
      </sharedItems>
    </cacheField>
    <cacheField name="Revenue" numFmtId="0">
      <sharedItems containsSemiMixedTypes="0" containsString="0" containsNumber="1" containsInteger="1">
        <n v="50.0"/>
        <n v="400.0"/>
        <n v="60.0"/>
        <n v="600.0"/>
        <n v="180.0"/>
        <n v="450.0"/>
        <n v="300.0"/>
        <n v="110.0"/>
        <n v="1400.0"/>
        <n v="360.0"/>
        <n v="190.0"/>
        <n v="70.0"/>
        <n v="40.0"/>
        <n v="220.0"/>
        <n v="160.0"/>
        <n v="130.0"/>
        <n v="350.0"/>
        <n v="280.0"/>
        <n v="250.0"/>
        <n v="140.0"/>
        <n v="55.0"/>
        <n v="420.0"/>
        <n v="95.0"/>
        <n v="150.0"/>
        <n v="75.0"/>
        <n v="210.0"/>
        <n v="80.0"/>
        <n v="65.0"/>
        <n v="390.0"/>
        <n v="120.0"/>
        <n v="45.0"/>
        <n v="90.0"/>
        <n v="35.0"/>
        <n v="135.0"/>
        <n v="520.0"/>
        <n v="260.0"/>
        <n v="100.0"/>
        <n v="56.0"/>
        <n v="36.0"/>
        <n v="85.0"/>
        <n v="185.0"/>
        <n v="240.0"/>
        <n v="320.0"/>
      </sharedItems>
    </cacheField>
    <cacheField name="Country" numFmtId="0">
      <sharedItems>
        <s v="Germany"/>
        <s v="France"/>
        <s v="Spain"/>
        <s v="Italy"/>
        <s v="Netherlands"/>
        <s v="Poland"/>
        <s v="Sweden"/>
        <s v="Austria"/>
        <s v="Finland"/>
        <s v="Belgium"/>
        <s v="Denmark"/>
        <s v="Ireland"/>
        <s v="Portugal"/>
        <s v="Czech Republic"/>
        <s v="Slovakia"/>
        <s v="Hungary"/>
        <s v="Sloven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_of_sold_categories" cacheId="0" dataCaption="" compact="0" compactData="0">
  <location ref="A1:B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ies" axis="axisRow" compact="0" outline="0" multipleItemSelectionAllowed="1" showAll="0" sortType="ascending">
      <items>
        <item x="6"/>
        <item x="1"/>
        <item x="0"/>
        <item x="2"/>
        <item x="4"/>
        <item x="3"/>
        <item x="5"/>
        <item x="7"/>
        <item x="9"/>
        <item x="8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4"/>
  </rowFields>
  <dataFields>
    <dataField name="Amount of sold" fld="5" baseField="0"/>
  </dataFields>
</pivotTableDefinition>
</file>

<file path=xl/pivotTables/pivotTable2.xml><?xml version="1.0" encoding="utf-8"?>
<pivotTableDefinition xmlns="http://schemas.openxmlformats.org/spreadsheetml/2006/main" name="info_for_total_revenue_quantaty" cacheId="0" dataCaption="" compact="0" compactData="0">
  <location ref="A1:D19" firstHeaderRow="0" firstDataRow="3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Product" axis="axisRow" compact="0" outline="0" multipleItemSelectionAllowed="1" showAll="0" sortType="ascending">
      <items>
        <item x="92"/>
        <item x="16"/>
        <item x="57"/>
        <item x="28"/>
        <item x="72"/>
        <item x="9"/>
        <item x="1"/>
        <item x="61"/>
        <item x="15"/>
        <item x="36"/>
        <item x="81"/>
        <item x="66"/>
        <item x="63"/>
        <item x="5"/>
        <item x="93"/>
        <item x="2"/>
        <item x="91"/>
        <item x="40"/>
        <item x="58"/>
        <item x="13"/>
        <item x="33"/>
        <item x="73"/>
        <item x="49"/>
        <item x="82"/>
        <item x="79"/>
        <item x="27"/>
        <item x="54"/>
        <item x="39"/>
        <item x="24"/>
        <item x="37"/>
        <item x="60"/>
        <item x="22"/>
        <item x="46"/>
        <item x="31"/>
        <item x="68"/>
        <item x="70"/>
        <item x="41"/>
        <item x="17"/>
        <item x="7"/>
        <item x="67"/>
        <item x="87"/>
        <item x="59"/>
        <item x="90"/>
        <item x="4"/>
        <item x="21"/>
        <item x="78"/>
        <item x="45"/>
        <item x="85"/>
        <item x="34"/>
        <item x="32"/>
        <item x="97"/>
        <item x="69"/>
        <item x="52"/>
        <item x="20"/>
        <item x="6"/>
        <item x="25"/>
        <item x="38"/>
        <item x="77"/>
        <item x="88"/>
        <item x="62"/>
        <item x="65"/>
        <item x="99"/>
        <item x="43"/>
        <item x="84"/>
        <item x="3"/>
        <item x="35"/>
        <item x="96"/>
        <item x="50"/>
        <item x="76"/>
        <item x="89"/>
        <item x="83"/>
        <item x="8"/>
        <item x="55"/>
        <item x="12"/>
        <item x="48"/>
        <item x="26"/>
        <item x="64"/>
        <item x="18"/>
        <item x="75"/>
        <item x="53"/>
        <item x="47"/>
        <item x="95"/>
        <item x="94"/>
        <item x="74"/>
        <item x="14"/>
        <item x="19"/>
        <item x="23"/>
        <item x="42"/>
        <item x="56"/>
        <item x="29"/>
        <item x="11"/>
        <item x="30"/>
        <item x="44"/>
        <item x="86"/>
        <item x="10"/>
        <item x="0"/>
        <item x="98"/>
        <item x="80"/>
        <item x="71"/>
        <item x="5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Country" axis="axisRow" compact="0" outline="0" multipleItemSelectionAllowed="1" showAll="0" sortType="ascending">
      <items>
        <item sd="0" x="7"/>
        <item sd="0" x="9"/>
        <item sd="0" x="13"/>
        <item sd="0" x="10"/>
        <item sd="0" x="8"/>
        <item sd="0" x="1"/>
        <item sd="0" x="0"/>
        <item sd="0" x="15"/>
        <item sd="0" x="11"/>
        <item sd="0" x="3"/>
        <item sd="0" x="4"/>
        <item sd="0" x="5"/>
        <item sd="0" x="12"/>
        <item sd="0" x="14"/>
        <item sd="0" x="16"/>
        <item sd="0" x="2"/>
        <item sd="0" x="6"/>
        <item t="default"/>
      </items>
    </pivotField>
  </pivotFields>
  <rowFields>
    <field x="8"/>
    <field x="3"/>
  </rowFields>
  <colFields>
    <field x="-2"/>
  </colFields>
  <dataFields>
    <dataField name="SUM of Quantity" fld="5" baseField="0"/>
    <dataField name="SUM of Revenue" fld="7" baseField="0"/>
  </dataFields>
</pivotTableDefinition>
</file>

<file path=xl/tables/table1.xml><?xml version="1.0" encoding="utf-8"?>
<table xmlns="http://schemas.openxmlformats.org/spreadsheetml/2006/main" ref="A1:I101" displayName="General_Information" name="General_Information" id="1">
  <tableColumns count="9">
    <tableColumn name="Order_ID" id="1"/>
    <tableColumn name="Order_Date" id="2"/>
    <tableColumn name="Customer_ID" id="3"/>
    <tableColumn name="Product" id="4"/>
    <tableColumn name="Category" id="5"/>
    <tableColumn name="Quantity" id="6"/>
    <tableColumn name="Price" id="7"/>
    <tableColumn name="Revenue" id="8"/>
    <tableColumn name="Country" id="9"/>
  </tableColumns>
  <tableStyleInfo name="general_info-style" showColumnStripes="0" showFirstColumn="1" showLastColumn="1" showRowStripes="1"/>
</table>
</file>

<file path=xl/tables/table2.xml><?xml version="1.0" encoding="utf-8"?>
<table xmlns="http://schemas.openxmlformats.org/spreadsheetml/2006/main" ref="A1:C2" displayName="Revenue_and_Sold_amount_of_categories" name="Revenue_and_Sold_amount_of_categories" id="2">
  <tableColumns count="3">
    <tableColumn name="Category Name" id="1"/>
    <tableColumn name="Count sold" id="2"/>
    <tableColumn name="Total Revenue" id="3"/>
  </tableColumns>
  <tableStyleInfo name="filtering_data-style" showColumnStripes="0" showFirstColumn="1" showLastColumn="1" showRowStripes="1"/>
</table>
</file>

<file path=xl/tables/table3.xml><?xml version="1.0" encoding="utf-8"?>
<table xmlns="http://schemas.openxmlformats.org/spreadsheetml/2006/main" ref="A5:B6" displayName="Sold_items_by_client" name="Sold_items_by_client" id="3">
  <tableColumns count="2">
    <tableColumn name="Customer_ID" id="1"/>
    <tableColumn name="Products bought by customer" id="2"/>
  </tableColumns>
  <tableStyleInfo name="filtering_data-style 2" showColumnStripes="0" showFirstColumn="1" showLastColumn="1" showRowStripes="1"/>
</table>
</file>

<file path=xl/tables/table4.xml><?xml version="1.0" encoding="utf-8"?>
<table xmlns="http://schemas.openxmlformats.org/spreadsheetml/2006/main" ref="A9:C10" displayName="Sold_Products_and_categories_by_countries" name="Sold_Products_and_categories_by_countries" id="4">
  <tableColumns count="3">
    <tableColumn name="Country" id="1"/>
    <tableColumn name="Categories sold" id="2"/>
    <tableColumn name="Products sold" id="3"/>
  </tableColumns>
  <tableStyleInfo name="filtering_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6.0"/>
    <col customWidth="1" min="3" max="3" width="14.25"/>
    <col customWidth="1" min="5" max="5" width="15.88"/>
    <col customWidth="1" min="6" max="6" width="11.63"/>
    <col customWidth="1" min="7" max="7" width="13.38"/>
    <col customWidth="1" min="8" max="8" width="11.13"/>
    <col customWidth="1" min="9" max="9" width="15.88"/>
    <col customWidth="1" min="11" max="11" width="13.38"/>
    <col customWidth="1" min="12" max="12" width="15.38"/>
    <col customWidth="1" min="13" max="13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9</v>
      </c>
      <c r="B2" s="4">
        <v>45296.0</v>
      </c>
      <c r="C2" s="3" t="s">
        <v>10</v>
      </c>
      <c r="D2" s="3" t="s">
        <v>11</v>
      </c>
      <c r="E2" s="5" t="s">
        <v>12</v>
      </c>
      <c r="F2" s="6">
        <v>2.0</v>
      </c>
      <c r="G2" s="6">
        <v>25.0</v>
      </c>
      <c r="H2" s="6">
        <f t="shared" ref="H2:H101" si="1">MULTIPLY(F2,G2)</f>
        <v>50</v>
      </c>
      <c r="I2" s="5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3" t="s">
        <v>14</v>
      </c>
      <c r="B3" s="4">
        <v>45297.0</v>
      </c>
      <c r="C3" s="3" t="s">
        <v>15</v>
      </c>
      <c r="D3" s="3" t="s">
        <v>16</v>
      </c>
      <c r="E3" s="5" t="s">
        <v>12</v>
      </c>
      <c r="F3" s="6">
        <v>5.0</v>
      </c>
      <c r="G3" s="6">
        <v>80.0</v>
      </c>
      <c r="H3" s="6">
        <f t="shared" si="1"/>
        <v>400</v>
      </c>
      <c r="I3" s="5" t="s">
        <v>17</v>
      </c>
      <c r="J3" s="7"/>
      <c r="K3" s="8"/>
      <c r="L3" s="8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3" t="s">
        <v>18</v>
      </c>
      <c r="B4" s="4">
        <v>45298.0</v>
      </c>
      <c r="C4" s="3" t="s">
        <v>19</v>
      </c>
      <c r="D4" s="3" t="s">
        <v>20</v>
      </c>
      <c r="E4" s="5" t="s">
        <v>21</v>
      </c>
      <c r="F4" s="6">
        <v>3.0</v>
      </c>
      <c r="G4" s="6">
        <v>20.0</v>
      </c>
      <c r="H4" s="6">
        <f t="shared" si="1"/>
        <v>60</v>
      </c>
      <c r="I4" s="5" t="s">
        <v>22</v>
      </c>
      <c r="J4" s="7"/>
      <c r="K4" s="9"/>
      <c r="L4" s="7"/>
      <c r="M4" s="10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3" t="s">
        <v>23</v>
      </c>
      <c r="B5" s="4">
        <v>45301.0</v>
      </c>
      <c r="C5" s="3" t="s">
        <v>24</v>
      </c>
      <c r="D5" s="3" t="s">
        <v>25</v>
      </c>
      <c r="E5" s="5" t="s">
        <v>26</v>
      </c>
      <c r="F5" s="6">
        <v>5.0</v>
      </c>
      <c r="G5" s="6">
        <v>120.0</v>
      </c>
      <c r="H5" s="6">
        <f t="shared" si="1"/>
        <v>600</v>
      </c>
      <c r="I5" s="5" t="s">
        <v>27</v>
      </c>
      <c r="J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3" t="s">
        <v>28</v>
      </c>
      <c r="B6" s="4">
        <v>45303.0</v>
      </c>
      <c r="C6" s="3" t="s">
        <v>10</v>
      </c>
      <c r="D6" s="3" t="s">
        <v>29</v>
      </c>
      <c r="E6" s="5" t="s">
        <v>12</v>
      </c>
      <c r="F6" s="6">
        <v>4.0</v>
      </c>
      <c r="G6" s="6">
        <v>45.0</v>
      </c>
      <c r="H6" s="6">
        <f t="shared" si="1"/>
        <v>180</v>
      </c>
      <c r="I6" s="5" t="s">
        <v>13</v>
      </c>
      <c r="J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3" t="s">
        <v>30</v>
      </c>
      <c r="B7" s="4">
        <v>45306.0</v>
      </c>
      <c r="C7" s="3" t="s">
        <v>31</v>
      </c>
      <c r="D7" s="3" t="s">
        <v>32</v>
      </c>
      <c r="E7" s="5" t="s">
        <v>33</v>
      </c>
      <c r="F7" s="6">
        <v>3.0</v>
      </c>
      <c r="G7" s="6">
        <v>150.0</v>
      </c>
      <c r="H7" s="6">
        <f t="shared" si="1"/>
        <v>450</v>
      </c>
      <c r="I7" s="5" t="s">
        <v>34</v>
      </c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3" t="s">
        <v>35</v>
      </c>
      <c r="B8" s="4">
        <v>45309.0</v>
      </c>
      <c r="C8" s="3" t="s">
        <v>36</v>
      </c>
      <c r="D8" s="3" t="s">
        <v>37</v>
      </c>
      <c r="E8" s="5" t="s">
        <v>38</v>
      </c>
      <c r="F8" s="6">
        <v>1.0</v>
      </c>
      <c r="G8" s="6">
        <v>300.0</v>
      </c>
      <c r="H8" s="6">
        <f t="shared" si="1"/>
        <v>300</v>
      </c>
      <c r="I8" s="5" t="s">
        <v>39</v>
      </c>
      <c r="J8" s="7"/>
      <c r="K8" s="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" t="s">
        <v>40</v>
      </c>
      <c r="B9" s="4">
        <v>45311.0</v>
      </c>
      <c r="C9" s="3" t="s">
        <v>19</v>
      </c>
      <c r="D9" s="3" t="s">
        <v>41</v>
      </c>
      <c r="E9" s="5" t="s">
        <v>21</v>
      </c>
      <c r="F9" s="6">
        <v>2.0</v>
      </c>
      <c r="G9" s="6">
        <v>55.0</v>
      </c>
      <c r="H9" s="6">
        <f t="shared" si="1"/>
        <v>110</v>
      </c>
      <c r="I9" s="5" t="s">
        <v>22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" t="s">
        <v>42</v>
      </c>
      <c r="B10" s="4">
        <v>45313.0</v>
      </c>
      <c r="C10" s="3" t="s">
        <v>43</v>
      </c>
      <c r="D10" s="3" t="s">
        <v>44</v>
      </c>
      <c r="E10" s="5" t="s">
        <v>12</v>
      </c>
      <c r="F10" s="6">
        <v>7.0</v>
      </c>
      <c r="G10" s="6">
        <v>200.0</v>
      </c>
      <c r="H10" s="6">
        <f t="shared" si="1"/>
        <v>1400</v>
      </c>
      <c r="I10" s="5" t="s">
        <v>45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" t="s">
        <v>46</v>
      </c>
      <c r="B11" s="4">
        <v>45316.0</v>
      </c>
      <c r="C11" s="3" t="s">
        <v>47</v>
      </c>
      <c r="D11" s="3" t="s">
        <v>48</v>
      </c>
      <c r="E11" s="5" t="s">
        <v>33</v>
      </c>
      <c r="F11" s="6">
        <v>4.0</v>
      </c>
      <c r="G11" s="6">
        <v>90.0</v>
      </c>
      <c r="H11" s="6">
        <f t="shared" si="1"/>
        <v>360</v>
      </c>
      <c r="I11" s="5" t="s">
        <v>49</v>
      </c>
      <c r="J11" s="7"/>
      <c r="K11" s="8"/>
      <c r="L11" s="8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3" t="s">
        <v>50</v>
      </c>
      <c r="B12" s="4">
        <v>45324.0</v>
      </c>
      <c r="C12" s="3" t="s">
        <v>15</v>
      </c>
      <c r="D12" s="3" t="s">
        <v>51</v>
      </c>
      <c r="E12" s="5" t="s">
        <v>12</v>
      </c>
      <c r="F12" s="6">
        <v>3.0</v>
      </c>
      <c r="G12" s="6">
        <v>60.0</v>
      </c>
      <c r="H12" s="6">
        <f t="shared" si="1"/>
        <v>180</v>
      </c>
      <c r="I12" s="5" t="s">
        <v>17</v>
      </c>
      <c r="J12" s="7"/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3" t="s">
        <v>52</v>
      </c>
      <c r="B13" s="4">
        <v>45327.0</v>
      </c>
      <c r="C13" s="3" t="s">
        <v>53</v>
      </c>
      <c r="D13" s="3" t="s">
        <v>54</v>
      </c>
      <c r="E13" s="5" t="s">
        <v>21</v>
      </c>
      <c r="F13" s="6">
        <v>1.0</v>
      </c>
      <c r="G13" s="6">
        <v>180.0</v>
      </c>
      <c r="H13" s="6">
        <f t="shared" si="1"/>
        <v>180</v>
      </c>
      <c r="I13" s="5" t="s">
        <v>55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3" t="s">
        <v>56</v>
      </c>
      <c r="B14" s="4">
        <v>45329.0</v>
      </c>
      <c r="C14" s="3" t="s">
        <v>24</v>
      </c>
      <c r="D14" s="3" t="s">
        <v>57</v>
      </c>
      <c r="E14" s="5" t="s">
        <v>26</v>
      </c>
      <c r="F14" s="6">
        <v>2.0</v>
      </c>
      <c r="G14" s="6">
        <v>95.0</v>
      </c>
      <c r="H14" s="6">
        <f t="shared" si="1"/>
        <v>190</v>
      </c>
      <c r="I14" s="5" t="s">
        <v>27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3" t="s">
        <v>58</v>
      </c>
      <c r="B15" s="4">
        <v>45332.0</v>
      </c>
      <c r="C15" s="3" t="s">
        <v>59</v>
      </c>
      <c r="D15" s="3" t="s">
        <v>60</v>
      </c>
      <c r="E15" s="5" t="s">
        <v>61</v>
      </c>
      <c r="F15" s="6">
        <v>2.0</v>
      </c>
      <c r="G15" s="6">
        <v>35.0</v>
      </c>
      <c r="H15" s="6">
        <f t="shared" si="1"/>
        <v>70</v>
      </c>
      <c r="I15" s="5" t="s">
        <v>62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3" t="s">
        <v>63</v>
      </c>
      <c r="B16" s="4">
        <v>45334.0</v>
      </c>
      <c r="C16" s="3" t="s">
        <v>10</v>
      </c>
      <c r="D16" s="3" t="s">
        <v>64</v>
      </c>
      <c r="E16" s="5" t="s">
        <v>12</v>
      </c>
      <c r="F16" s="6">
        <v>1.0</v>
      </c>
      <c r="G16" s="6">
        <v>40.0</v>
      </c>
      <c r="H16" s="6">
        <f t="shared" si="1"/>
        <v>40</v>
      </c>
      <c r="I16" s="5" t="s"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3" t="s">
        <v>65</v>
      </c>
      <c r="B17" s="4">
        <v>45337.0</v>
      </c>
      <c r="C17" s="3" t="s">
        <v>36</v>
      </c>
      <c r="D17" s="3" t="s">
        <v>66</v>
      </c>
      <c r="E17" s="5" t="s">
        <v>38</v>
      </c>
      <c r="F17" s="6">
        <v>1.0</v>
      </c>
      <c r="G17" s="6">
        <v>220.0</v>
      </c>
      <c r="H17" s="6">
        <f t="shared" si="1"/>
        <v>220</v>
      </c>
      <c r="I17" s="5" t="s">
        <v>39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" t="s">
        <v>67</v>
      </c>
      <c r="B18" s="4">
        <v>45340.0</v>
      </c>
      <c r="C18" s="3" t="s">
        <v>68</v>
      </c>
      <c r="D18" s="3" t="s">
        <v>69</v>
      </c>
      <c r="E18" s="5" t="s">
        <v>33</v>
      </c>
      <c r="F18" s="6">
        <v>1.0</v>
      </c>
      <c r="G18" s="6">
        <v>160.0</v>
      </c>
      <c r="H18" s="6">
        <f t="shared" si="1"/>
        <v>160</v>
      </c>
      <c r="I18" s="5" t="s">
        <v>70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3" t="s">
        <v>71</v>
      </c>
      <c r="B19" s="4">
        <v>45342.0</v>
      </c>
      <c r="C19" s="3" t="s">
        <v>19</v>
      </c>
      <c r="D19" s="3" t="s">
        <v>72</v>
      </c>
      <c r="E19" s="5" t="s">
        <v>21</v>
      </c>
      <c r="F19" s="6">
        <v>2.0</v>
      </c>
      <c r="G19" s="6">
        <v>65.0</v>
      </c>
      <c r="H19" s="6">
        <f t="shared" si="1"/>
        <v>130</v>
      </c>
      <c r="I19" s="5" t="s">
        <v>22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3" t="s">
        <v>73</v>
      </c>
      <c r="B20" s="4">
        <v>45344.0</v>
      </c>
      <c r="C20" s="3" t="s">
        <v>74</v>
      </c>
      <c r="D20" s="3" t="s">
        <v>75</v>
      </c>
      <c r="E20" s="5" t="s">
        <v>12</v>
      </c>
      <c r="F20" s="6">
        <v>1.0</v>
      </c>
      <c r="G20" s="6">
        <v>350.0</v>
      </c>
      <c r="H20" s="6">
        <f t="shared" si="1"/>
        <v>350</v>
      </c>
      <c r="I20" s="5" t="s">
        <v>76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3" t="s">
        <v>77</v>
      </c>
      <c r="B21" s="4">
        <v>45347.0</v>
      </c>
      <c r="C21" s="3" t="s">
        <v>31</v>
      </c>
      <c r="D21" s="3" t="s">
        <v>78</v>
      </c>
      <c r="E21" s="5" t="s">
        <v>33</v>
      </c>
      <c r="F21" s="6">
        <v>1.0</v>
      </c>
      <c r="G21" s="6">
        <v>280.0</v>
      </c>
      <c r="H21" s="6">
        <f t="shared" si="1"/>
        <v>280</v>
      </c>
      <c r="I21" s="5" t="s">
        <v>34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3" t="s">
        <v>79</v>
      </c>
      <c r="B22" s="4">
        <v>45354.0</v>
      </c>
      <c r="C22" s="3" t="s">
        <v>43</v>
      </c>
      <c r="D22" s="3" t="s">
        <v>80</v>
      </c>
      <c r="E22" s="5" t="s">
        <v>12</v>
      </c>
      <c r="F22" s="6">
        <v>1.0</v>
      </c>
      <c r="G22" s="6">
        <v>250.0</v>
      </c>
      <c r="H22" s="6">
        <f t="shared" si="1"/>
        <v>250</v>
      </c>
      <c r="I22" s="5" t="s">
        <v>45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3" t="s">
        <v>81</v>
      </c>
      <c r="B23" s="4">
        <v>45356.0</v>
      </c>
      <c r="C23" s="3" t="s">
        <v>82</v>
      </c>
      <c r="D23" s="3" t="s">
        <v>83</v>
      </c>
      <c r="E23" s="5" t="s">
        <v>84</v>
      </c>
      <c r="F23" s="6">
        <v>2.0</v>
      </c>
      <c r="G23" s="6">
        <v>30.0</v>
      </c>
      <c r="H23" s="6">
        <f t="shared" si="1"/>
        <v>60</v>
      </c>
      <c r="I23" s="5" t="s">
        <v>85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3" t="s">
        <v>86</v>
      </c>
      <c r="B24" s="4">
        <v>45358.0</v>
      </c>
      <c r="C24" s="3" t="s">
        <v>24</v>
      </c>
      <c r="D24" s="3" t="s">
        <v>87</v>
      </c>
      <c r="E24" s="5" t="s">
        <v>26</v>
      </c>
      <c r="F24" s="6">
        <v>1.0</v>
      </c>
      <c r="G24" s="6">
        <v>140.0</v>
      </c>
      <c r="H24" s="6">
        <f t="shared" si="1"/>
        <v>140</v>
      </c>
      <c r="I24" s="5" t="s">
        <v>27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3" t="s">
        <v>88</v>
      </c>
      <c r="B25" s="4">
        <v>45361.0</v>
      </c>
      <c r="C25" s="3" t="s">
        <v>89</v>
      </c>
      <c r="D25" s="3" t="s">
        <v>90</v>
      </c>
      <c r="E25" s="5" t="s">
        <v>61</v>
      </c>
      <c r="F25" s="6">
        <v>1.0</v>
      </c>
      <c r="G25" s="6">
        <v>55.0</v>
      </c>
      <c r="H25" s="6">
        <f t="shared" si="1"/>
        <v>55</v>
      </c>
      <c r="I25" s="5" t="s">
        <v>91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3" t="s">
        <v>92</v>
      </c>
      <c r="B26" s="4">
        <v>45363.0</v>
      </c>
      <c r="C26" s="3" t="s">
        <v>10</v>
      </c>
      <c r="D26" s="3" t="s">
        <v>93</v>
      </c>
      <c r="E26" s="5" t="s">
        <v>12</v>
      </c>
      <c r="F26" s="6">
        <v>1.0</v>
      </c>
      <c r="G26" s="6">
        <v>180.0</v>
      </c>
      <c r="H26" s="6">
        <f t="shared" si="1"/>
        <v>180</v>
      </c>
      <c r="I26" s="5" t="s">
        <v>13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3" t="s">
        <v>94</v>
      </c>
      <c r="B27" s="4">
        <v>45366.0</v>
      </c>
      <c r="C27" s="3" t="s">
        <v>95</v>
      </c>
      <c r="D27" s="3" t="s">
        <v>96</v>
      </c>
      <c r="E27" s="5" t="s">
        <v>38</v>
      </c>
      <c r="F27" s="6">
        <v>1.0</v>
      </c>
      <c r="G27" s="6">
        <v>420.0</v>
      </c>
      <c r="H27" s="6">
        <f t="shared" si="1"/>
        <v>420</v>
      </c>
      <c r="I27" s="5" t="s">
        <v>97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3" t="s">
        <v>98</v>
      </c>
      <c r="B28" s="4">
        <v>45369.0</v>
      </c>
      <c r="C28" s="3" t="s">
        <v>19</v>
      </c>
      <c r="D28" s="3" t="s">
        <v>99</v>
      </c>
      <c r="E28" s="5" t="s">
        <v>21</v>
      </c>
      <c r="F28" s="6">
        <v>1.0</v>
      </c>
      <c r="G28" s="6">
        <v>95.0</v>
      </c>
      <c r="H28" s="6">
        <f t="shared" si="1"/>
        <v>95</v>
      </c>
      <c r="I28" s="5" t="s">
        <v>22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3" t="s">
        <v>100</v>
      </c>
      <c r="B29" s="4">
        <v>45371.0</v>
      </c>
      <c r="C29" s="3" t="s">
        <v>68</v>
      </c>
      <c r="D29" s="3" t="s">
        <v>101</v>
      </c>
      <c r="E29" s="5" t="s">
        <v>33</v>
      </c>
      <c r="F29" s="6">
        <v>1.0</v>
      </c>
      <c r="G29" s="6">
        <v>70.0</v>
      </c>
      <c r="H29" s="6">
        <f t="shared" si="1"/>
        <v>70</v>
      </c>
      <c r="I29" s="5" t="s">
        <v>70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3" t="s">
        <v>102</v>
      </c>
      <c r="B30" s="4">
        <v>45373.0</v>
      </c>
      <c r="C30" s="3" t="s">
        <v>103</v>
      </c>
      <c r="D30" s="3" t="s">
        <v>104</v>
      </c>
      <c r="E30" s="5" t="s">
        <v>84</v>
      </c>
      <c r="F30" s="6">
        <v>2.0</v>
      </c>
      <c r="G30" s="6">
        <v>75.0</v>
      </c>
      <c r="H30" s="6">
        <f t="shared" si="1"/>
        <v>150</v>
      </c>
      <c r="I30" s="5" t="s">
        <v>105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3" t="s">
        <v>106</v>
      </c>
      <c r="B31" s="4">
        <v>45376.0</v>
      </c>
      <c r="C31" s="3" t="s">
        <v>15</v>
      </c>
      <c r="D31" s="3" t="s">
        <v>107</v>
      </c>
      <c r="E31" s="5" t="s">
        <v>12</v>
      </c>
      <c r="F31" s="6">
        <v>1.0</v>
      </c>
      <c r="G31" s="6">
        <v>110.0</v>
      </c>
      <c r="H31" s="6">
        <f t="shared" si="1"/>
        <v>110</v>
      </c>
      <c r="I31" s="5" t="s">
        <v>17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3" t="s">
        <v>108</v>
      </c>
      <c r="B32" s="4">
        <v>45378.0</v>
      </c>
      <c r="C32" s="3" t="s">
        <v>109</v>
      </c>
      <c r="D32" s="3" t="s">
        <v>110</v>
      </c>
      <c r="E32" s="5" t="s">
        <v>12</v>
      </c>
      <c r="F32" s="6">
        <v>2.0</v>
      </c>
      <c r="G32" s="6">
        <v>35.0</v>
      </c>
      <c r="H32" s="6">
        <f t="shared" si="1"/>
        <v>70</v>
      </c>
      <c r="I32" s="5" t="s">
        <v>13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3" t="s">
        <v>111</v>
      </c>
      <c r="B33" s="4">
        <v>45379.0</v>
      </c>
      <c r="C33" s="3" t="s">
        <v>112</v>
      </c>
      <c r="D33" s="3" t="s">
        <v>113</v>
      </c>
      <c r="E33" s="5" t="s">
        <v>21</v>
      </c>
      <c r="F33" s="6">
        <v>3.0</v>
      </c>
      <c r="G33" s="6">
        <v>25.0</v>
      </c>
      <c r="H33" s="6">
        <f t="shared" si="1"/>
        <v>75</v>
      </c>
      <c r="I33" s="5" t="s">
        <v>17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3" t="s">
        <v>114</v>
      </c>
      <c r="B34" s="4">
        <v>45380.0</v>
      </c>
      <c r="C34" s="3" t="s">
        <v>31</v>
      </c>
      <c r="D34" s="3" t="s">
        <v>115</v>
      </c>
      <c r="E34" s="5" t="s">
        <v>33</v>
      </c>
      <c r="F34" s="6">
        <v>1.0</v>
      </c>
      <c r="G34" s="6">
        <v>210.0</v>
      </c>
      <c r="H34" s="6">
        <f t="shared" si="1"/>
        <v>210</v>
      </c>
      <c r="I34" s="5" t="s">
        <v>34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3" t="s">
        <v>116</v>
      </c>
      <c r="B35" s="4">
        <v>45381.0</v>
      </c>
      <c r="C35" s="3" t="s">
        <v>117</v>
      </c>
      <c r="D35" s="3" t="s">
        <v>118</v>
      </c>
      <c r="E35" s="5" t="s">
        <v>119</v>
      </c>
      <c r="F35" s="6">
        <v>2.0</v>
      </c>
      <c r="G35" s="6">
        <v>20.0</v>
      </c>
      <c r="H35" s="6">
        <f t="shared" si="1"/>
        <v>40</v>
      </c>
      <c r="I35" s="5" t="s">
        <v>49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3" t="s">
        <v>120</v>
      </c>
      <c r="B36" s="4">
        <v>45383.0</v>
      </c>
      <c r="C36" s="3" t="s">
        <v>10</v>
      </c>
      <c r="D36" s="3" t="s">
        <v>121</v>
      </c>
      <c r="E36" s="5" t="s">
        <v>12</v>
      </c>
      <c r="F36" s="6">
        <v>1.0</v>
      </c>
      <c r="G36" s="6">
        <v>130.0</v>
      </c>
      <c r="H36" s="6">
        <f t="shared" si="1"/>
        <v>130</v>
      </c>
      <c r="I36" s="5" t="s">
        <v>13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3" t="s">
        <v>122</v>
      </c>
      <c r="B37" s="4">
        <v>45384.0</v>
      </c>
      <c r="C37" s="3" t="s">
        <v>123</v>
      </c>
      <c r="D37" s="3" t="s">
        <v>124</v>
      </c>
      <c r="E37" s="5" t="s">
        <v>21</v>
      </c>
      <c r="F37" s="6">
        <v>2.0</v>
      </c>
      <c r="G37" s="6">
        <v>40.0</v>
      </c>
      <c r="H37" s="6">
        <f t="shared" si="1"/>
        <v>80</v>
      </c>
      <c r="I37" s="5" t="s">
        <v>22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3" t="s">
        <v>125</v>
      </c>
      <c r="B38" s="4">
        <v>45385.0</v>
      </c>
      <c r="C38" s="3" t="s">
        <v>126</v>
      </c>
      <c r="D38" s="3" t="s">
        <v>127</v>
      </c>
      <c r="E38" s="5" t="s">
        <v>61</v>
      </c>
      <c r="F38" s="6">
        <v>1.0</v>
      </c>
      <c r="G38" s="6">
        <v>65.0</v>
      </c>
      <c r="H38" s="6">
        <f t="shared" si="1"/>
        <v>65</v>
      </c>
      <c r="I38" s="5" t="s">
        <v>27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3" t="s">
        <v>128</v>
      </c>
      <c r="B39" s="4">
        <v>45386.0</v>
      </c>
      <c r="C39" s="3" t="s">
        <v>43</v>
      </c>
      <c r="D39" s="3" t="s">
        <v>129</v>
      </c>
      <c r="E39" s="5" t="s">
        <v>12</v>
      </c>
      <c r="F39" s="6">
        <v>1.0</v>
      </c>
      <c r="G39" s="6">
        <v>150.0</v>
      </c>
      <c r="H39" s="6">
        <f t="shared" si="1"/>
        <v>150</v>
      </c>
      <c r="I39" s="5" t="s">
        <v>45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3" t="s">
        <v>130</v>
      </c>
      <c r="B40" s="4">
        <v>45387.0</v>
      </c>
      <c r="C40" s="3" t="s">
        <v>131</v>
      </c>
      <c r="D40" s="3" t="s">
        <v>132</v>
      </c>
      <c r="E40" s="5" t="s">
        <v>38</v>
      </c>
      <c r="F40" s="6">
        <v>1.0</v>
      </c>
      <c r="G40" s="6">
        <v>280.0</v>
      </c>
      <c r="H40" s="6">
        <f t="shared" si="1"/>
        <v>280</v>
      </c>
      <c r="I40" s="5" t="s">
        <v>39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3" t="s">
        <v>133</v>
      </c>
      <c r="B41" s="4">
        <v>45388.0</v>
      </c>
      <c r="C41" s="3" t="s">
        <v>134</v>
      </c>
      <c r="D41" s="3" t="s">
        <v>135</v>
      </c>
      <c r="E41" s="5" t="s">
        <v>33</v>
      </c>
      <c r="F41" s="6">
        <v>1.0</v>
      </c>
      <c r="G41" s="6">
        <v>390.0</v>
      </c>
      <c r="H41" s="6">
        <f t="shared" si="1"/>
        <v>390</v>
      </c>
      <c r="I41" s="5" t="s">
        <v>27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3" t="s">
        <v>136</v>
      </c>
      <c r="B42" s="4">
        <v>45389.0</v>
      </c>
      <c r="C42" s="3" t="s">
        <v>19</v>
      </c>
      <c r="D42" s="3" t="s">
        <v>137</v>
      </c>
      <c r="E42" s="5" t="s">
        <v>21</v>
      </c>
      <c r="F42" s="6">
        <v>1.0</v>
      </c>
      <c r="G42" s="6">
        <v>120.0</v>
      </c>
      <c r="H42" s="6">
        <f t="shared" si="1"/>
        <v>120</v>
      </c>
      <c r="I42" s="5" t="s">
        <v>22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3" t="s">
        <v>138</v>
      </c>
      <c r="B43" s="4">
        <v>45390.0</v>
      </c>
      <c r="C43" s="3" t="s">
        <v>139</v>
      </c>
      <c r="D43" s="3" t="s">
        <v>140</v>
      </c>
      <c r="E43" s="5" t="s">
        <v>12</v>
      </c>
      <c r="F43" s="6">
        <v>3.0</v>
      </c>
      <c r="G43" s="6">
        <v>15.0</v>
      </c>
      <c r="H43" s="6">
        <f t="shared" si="1"/>
        <v>45</v>
      </c>
      <c r="I43" s="5" t="s">
        <v>62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3" t="s">
        <v>141</v>
      </c>
      <c r="B44" s="4">
        <v>45391.0</v>
      </c>
      <c r="C44" s="3" t="s">
        <v>142</v>
      </c>
      <c r="D44" s="3" t="s">
        <v>143</v>
      </c>
      <c r="E44" s="5" t="s">
        <v>61</v>
      </c>
      <c r="F44" s="6">
        <v>2.0</v>
      </c>
      <c r="G44" s="6">
        <v>60.0</v>
      </c>
      <c r="H44" s="6">
        <f t="shared" si="1"/>
        <v>120</v>
      </c>
      <c r="I44" s="5" t="s">
        <v>91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3" t="s">
        <v>144</v>
      </c>
      <c r="B45" s="4">
        <v>45392.0</v>
      </c>
      <c r="C45" s="3" t="s">
        <v>68</v>
      </c>
      <c r="D45" s="3" t="s">
        <v>145</v>
      </c>
      <c r="E45" s="5" t="s">
        <v>33</v>
      </c>
      <c r="F45" s="6">
        <v>1.0</v>
      </c>
      <c r="G45" s="6">
        <v>140.0</v>
      </c>
      <c r="H45" s="6">
        <f t="shared" si="1"/>
        <v>140</v>
      </c>
      <c r="I45" s="5" t="s">
        <v>70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3" t="s">
        <v>146</v>
      </c>
      <c r="B46" s="4">
        <v>45393.0</v>
      </c>
      <c r="C46" s="3" t="s">
        <v>15</v>
      </c>
      <c r="D46" s="3" t="s">
        <v>147</v>
      </c>
      <c r="E46" s="5" t="s">
        <v>12</v>
      </c>
      <c r="F46" s="6">
        <v>1.0</v>
      </c>
      <c r="G46" s="6">
        <v>95.0</v>
      </c>
      <c r="H46" s="6">
        <f t="shared" si="1"/>
        <v>95</v>
      </c>
      <c r="I46" s="5" t="s">
        <v>17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3" t="s">
        <v>148</v>
      </c>
      <c r="B47" s="4">
        <v>45394.0</v>
      </c>
      <c r="C47" s="3" t="s">
        <v>149</v>
      </c>
      <c r="D47" s="3" t="s">
        <v>150</v>
      </c>
      <c r="E47" s="5" t="s">
        <v>84</v>
      </c>
      <c r="F47" s="6">
        <v>2.0</v>
      </c>
      <c r="G47" s="6">
        <v>45.0</v>
      </c>
      <c r="H47" s="6">
        <f t="shared" si="1"/>
        <v>90</v>
      </c>
      <c r="I47" s="5" t="s">
        <v>85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3" t="s">
        <v>151</v>
      </c>
      <c r="B48" s="4">
        <v>45395.0</v>
      </c>
      <c r="C48" s="3" t="s">
        <v>152</v>
      </c>
      <c r="D48" s="3" t="s">
        <v>153</v>
      </c>
      <c r="E48" s="5" t="s">
        <v>12</v>
      </c>
      <c r="F48" s="6">
        <v>1.0</v>
      </c>
      <c r="G48" s="6">
        <v>35.0</v>
      </c>
      <c r="H48" s="6">
        <f t="shared" si="1"/>
        <v>35</v>
      </c>
      <c r="I48" s="5" t="s">
        <v>13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3" t="s">
        <v>154</v>
      </c>
      <c r="B49" s="4">
        <v>45396.0</v>
      </c>
      <c r="C49" s="3" t="s">
        <v>24</v>
      </c>
      <c r="D49" s="3" t="s">
        <v>155</v>
      </c>
      <c r="E49" s="5" t="s">
        <v>26</v>
      </c>
      <c r="F49" s="6">
        <v>1.0</v>
      </c>
      <c r="G49" s="6">
        <v>135.0</v>
      </c>
      <c r="H49" s="6">
        <f t="shared" si="1"/>
        <v>135</v>
      </c>
      <c r="I49" s="5" t="s">
        <v>27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3" t="s">
        <v>156</v>
      </c>
      <c r="B50" s="4">
        <v>45397.0</v>
      </c>
      <c r="C50" s="3" t="s">
        <v>157</v>
      </c>
      <c r="D50" s="3" t="s">
        <v>158</v>
      </c>
      <c r="E50" s="5" t="s">
        <v>38</v>
      </c>
      <c r="F50" s="6">
        <v>1.0</v>
      </c>
      <c r="G50" s="6">
        <v>520.0</v>
      </c>
      <c r="H50" s="6">
        <f t="shared" si="1"/>
        <v>520</v>
      </c>
      <c r="I50" s="5" t="s">
        <v>159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3" t="s">
        <v>160</v>
      </c>
      <c r="B51" s="4">
        <v>45398.0</v>
      </c>
      <c r="C51" s="3" t="s">
        <v>36</v>
      </c>
      <c r="D51" s="3" t="s">
        <v>161</v>
      </c>
      <c r="E51" s="5" t="s">
        <v>38</v>
      </c>
      <c r="F51" s="6">
        <v>1.0</v>
      </c>
      <c r="G51" s="6">
        <v>260.0</v>
      </c>
      <c r="H51" s="6">
        <f t="shared" si="1"/>
        <v>260</v>
      </c>
      <c r="I51" s="5" t="s">
        <v>39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3" t="s">
        <v>162</v>
      </c>
      <c r="B52" s="4">
        <v>45399.0</v>
      </c>
      <c r="C52" s="3" t="s">
        <v>163</v>
      </c>
      <c r="D52" s="3" t="s">
        <v>164</v>
      </c>
      <c r="E52" s="5" t="s">
        <v>12</v>
      </c>
      <c r="F52" s="6">
        <v>4.0</v>
      </c>
      <c r="G52" s="6">
        <v>25.0</v>
      </c>
      <c r="H52" s="6">
        <f t="shared" si="1"/>
        <v>100</v>
      </c>
      <c r="I52" s="5" t="s">
        <v>34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3" t="s">
        <v>165</v>
      </c>
      <c r="B53" s="4">
        <v>45400.0</v>
      </c>
      <c r="C53" s="3" t="s">
        <v>166</v>
      </c>
      <c r="D53" s="3" t="s">
        <v>167</v>
      </c>
      <c r="E53" s="5" t="s">
        <v>168</v>
      </c>
      <c r="F53" s="6">
        <v>2.0</v>
      </c>
      <c r="G53" s="6">
        <v>40.0</v>
      </c>
      <c r="H53" s="6">
        <f t="shared" si="1"/>
        <v>80</v>
      </c>
      <c r="I53" s="5" t="s">
        <v>55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3" t="s">
        <v>169</v>
      </c>
      <c r="B54" s="4">
        <v>45401.0</v>
      </c>
      <c r="C54" s="3" t="s">
        <v>10</v>
      </c>
      <c r="D54" s="3" t="s">
        <v>170</v>
      </c>
      <c r="E54" s="5" t="s">
        <v>12</v>
      </c>
      <c r="F54" s="6">
        <v>1.0</v>
      </c>
      <c r="G54" s="6">
        <v>180.0</v>
      </c>
      <c r="H54" s="6">
        <f t="shared" si="1"/>
        <v>180</v>
      </c>
      <c r="I54" s="5" t="s">
        <v>13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3" t="s">
        <v>171</v>
      </c>
      <c r="B55" s="4">
        <v>45402.0</v>
      </c>
      <c r="C55" s="3" t="s">
        <v>172</v>
      </c>
      <c r="D55" s="3" t="s">
        <v>173</v>
      </c>
      <c r="E55" s="5" t="s">
        <v>61</v>
      </c>
      <c r="F55" s="6">
        <v>3.0</v>
      </c>
      <c r="G55" s="6">
        <v>30.0</v>
      </c>
      <c r="H55" s="6">
        <f t="shared" si="1"/>
        <v>90</v>
      </c>
      <c r="I55" s="5" t="s">
        <v>49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3" t="s">
        <v>174</v>
      </c>
      <c r="B56" s="4">
        <v>45403.0</v>
      </c>
      <c r="C56" s="3" t="s">
        <v>175</v>
      </c>
      <c r="D56" s="3" t="s">
        <v>176</v>
      </c>
      <c r="E56" s="5" t="s">
        <v>177</v>
      </c>
      <c r="F56" s="6">
        <v>1.0</v>
      </c>
      <c r="G56" s="6">
        <v>110.0</v>
      </c>
      <c r="H56" s="6">
        <f t="shared" si="1"/>
        <v>110</v>
      </c>
      <c r="I56" s="5" t="s">
        <v>17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3" t="s">
        <v>178</v>
      </c>
      <c r="B57" s="4">
        <v>45404.0</v>
      </c>
      <c r="C57" s="3" t="s">
        <v>179</v>
      </c>
      <c r="D57" s="3" t="s">
        <v>180</v>
      </c>
      <c r="E57" s="5" t="s">
        <v>12</v>
      </c>
      <c r="F57" s="6">
        <v>1.0</v>
      </c>
      <c r="G57" s="6">
        <v>45.0</v>
      </c>
      <c r="H57" s="6">
        <f t="shared" si="1"/>
        <v>45</v>
      </c>
      <c r="I57" s="5" t="s">
        <v>22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3" t="s">
        <v>181</v>
      </c>
      <c r="B58" s="4">
        <v>45405.0</v>
      </c>
      <c r="C58" s="3" t="s">
        <v>182</v>
      </c>
      <c r="D58" s="3" t="s">
        <v>183</v>
      </c>
      <c r="E58" s="5" t="s">
        <v>168</v>
      </c>
      <c r="F58" s="6">
        <v>2.0</v>
      </c>
      <c r="G58" s="6">
        <v>28.0</v>
      </c>
      <c r="H58" s="6">
        <f t="shared" si="1"/>
        <v>56</v>
      </c>
      <c r="I58" s="5" t="s">
        <v>76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3" t="s">
        <v>184</v>
      </c>
      <c r="B59" s="4">
        <v>45406.0</v>
      </c>
      <c r="C59" s="3" t="s">
        <v>31</v>
      </c>
      <c r="D59" s="3" t="s">
        <v>185</v>
      </c>
      <c r="E59" s="5" t="s">
        <v>33</v>
      </c>
      <c r="F59" s="6">
        <v>1.0</v>
      </c>
      <c r="G59" s="6">
        <v>260.0</v>
      </c>
      <c r="H59" s="6">
        <f t="shared" si="1"/>
        <v>260</v>
      </c>
      <c r="I59" s="5" t="s">
        <v>34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3" t="s">
        <v>186</v>
      </c>
      <c r="B60" s="4">
        <v>45407.0</v>
      </c>
      <c r="C60" s="3" t="s">
        <v>187</v>
      </c>
      <c r="D60" s="3" t="s">
        <v>188</v>
      </c>
      <c r="E60" s="5" t="s">
        <v>119</v>
      </c>
      <c r="F60" s="6">
        <v>2.0</v>
      </c>
      <c r="G60" s="6">
        <v>18.0</v>
      </c>
      <c r="H60" s="6">
        <f t="shared" si="1"/>
        <v>36</v>
      </c>
      <c r="I60" s="5" t="s">
        <v>62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3" t="s">
        <v>189</v>
      </c>
      <c r="B61" s="4">
        <v>45408.0</v>
      </c>
      <c r="C61" s="3" t="s">
        <v>190</v>
      </c>
      <c r="D61" s="3" t="s">
        <v>191</v>
      </c>
      <c r="E61" s="5" t="s">
        <v>84</v>
      </c>
      <c r="F61" s="6">
        <v>1.0</v>
      </c>
      <c r="G61" s="6">
        <v>95.0</v>
      </c>
      <c r="H61" s="6">
        <f t="shared" si="1"/>
        <v>95</v>
      </c>
      <c r="I61" s="5" t="s">
        <v>13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3" t="s">
        <v>192</v>
      </c>
      <c r="B62" s="4">
        <v>45409.0</v>
      </c>
      <c r="C62" s="3" t="s">
        <v>193</v>
      </c>
      <c r="D62" s="3" t="s">
        <v>194</v>
      </c>
      <c r="E62" s="5" t="s">
        <v>61</v>
      </c>
      <c r="F62" s="6">
        <v>1.0</v>
      </c>
      <c r="G62" s="6">
        <v>150.0</v>
      </c>
      <c r="H62" s="6">
        <f t="shared" si="1"/>
        <v>150</v>
      </c>
      <c r="I62" s="5" t="s">
        <v>27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3" t="s">
        <v>195</v>
      </c>
      <c r="B63" s="4">
        <v>45410.0</v>
      </c>
      <c r="C63" s="3" t="s">
        <v>43</v>
      </c>
      <c r="D63" s="3" t="s">
        <v>196</v>
      </c>
      <c r="E63" s="5" t="s">
        <v>12</v>
      </c>
      <c r="F63" s="6">
        <v>1.0</v>
      </c>
      <c r="G63" s="6">
        <v>130.0</v>
      </c>
      <c r="H63" s="6">
        <f t="shared" si="1"/>
        <v>130</v>
      </c>
      <c r="I63" s="5" t="s">
        <v>45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3" t="s">
        <v>197</v>
      </c>
      <c r="B64" s="4">
        <v>45411.0</v>
      </c>
      <c r="C64" s="3" t="s">
        <v>198</v>
      </c>
      <c r="D64" s="3" t="s">
        <v>199</v>
      </c>
      <c r="E64" s="5" t="s">
        <v>119</v>
      </c>
      <c r="F64" s="6">
        <v>1.0</v>
      </c>
      <c r="G64" s="6">
        <v>85.0</v>
      </c>
      <c r="H64" s="6">
        <f t="shared" si="1"/>
        <v>85</v>
      </c>
      <c r="I64" s="5" t="s">
        <v>70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3" t="s">
        <v>200</v>
      </c>
      <c r="B65" s="4">
        <v>45412.0</v>
      </c>
      <c r="C65" s="3" t="s">
        <v>201</v>
      </c>
      <c r="D65" s="3" t="s">
        <v>202</v>
      </c>
      <c r="E65" s="5" t="s">
        <v>33</v>
      </c>
      <c r="F65" s="6">
        <v>1.0</v>
      </c>
      <c r="G65" s="6">
        <v>95.0</v>
      </c>
      <c r="H65" s="6">
        <f t="shared" si="1"/>
        <v>95</v>
      </c>
      <c r="I65" s="5" t="s">
        <v>49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3" t="s">
        <v>203</v>
      </c>
      <c r="B66" s="4">
        <v>45413.0</v>
      </c>
      <c r="C66" s="3" t="s">
        <v>204</v>
      </c>
      <c r="D66" s="3" t="s">
        <v>205</v>
      </c>
      <c r="E66" s="5" t="s">
        <v>84</v>
      </c>
      <c r="F66" s="6">
        <v>2.0</v>
      </c>
      <c r="G66" s="6">
        <v>70.0</v>
      </c>
      <c r="H66" s="6">
        <f t="shared" si="1"/>
        <v>140</v>
      </c>
      <c r="I66" s="5" t="s">
        <v>22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3" t="s">
        <v>206</v>
      </c>
      <c r="B67" s="4">
        <v>45414.0</v>
      </c>
      <c r="C67" s="3" t="s">
        <v>207</v>
      </c>
      <c r="D67" s="3" t="s">
        <v>208</v>
      </c>
      <c r="E67" s="5" t="s">
        <v>12</v>
      </c>
      <c r="F67" s="6">
        <v>2.0</v>
      </c>
      <c r="G67" s="6">
        <v>45.0</v>
      </c>
      <c r="H67" s="6">
        <f t="shared" si="1"/>
        <v>90</v>
      </c>
      <c r="I67" s="5" t="s">
        <v>17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3" t="s">
        <v>209</v>
      </c>
      <c r="B68" s="4">
        <v>45415.0</v>
      </c>
      <c r="C68" s="3" t="s">
        <v>19</v>
      </c>
      <c r="D68" s="3" t="s">
        <v>210</v>
      </c>
      <c r="E68" s="5" t="s">
        <v>26</v>
      </c>
      <c r="F68" s="6">
        <v>1.0</v>
      </c>
      <c r="G68" s="6">
        <v>110.0</v>
      </c>
      <c r="H68" s="6">
        <f t="shared" si="1"/>
        <v>110</v>
      </c>
      <c r="I68" s="5" t="s">
        <v>22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3" t="s">
        <v>211</v>
      </c>
      <c r="B69" s="4">
        <v>45416.0</v>
      </c>
      <c r="C69" s="3" t="s">
        <v>212</v>
      </c>
      <c r="D69" s="3" t="s">
        <v>213</v>
      </c>
      <c r="E69" s="5" t="s">
        <v>33</v>
      </c>
      <c r="F69" s="6">
        <v>1.0</v>
      </c>
      <c r="G69" s="6">
        <v>55.0</v>
      </c>
      <c r="H69" s="6">
        <f t="shared" si="1"/>
        <v>55</v>
      </c>
      <c r="I69" s="5" t="s">
        <v>91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3" t="s">
        <v>214</v>
      </c>
      <c r="B70" s="4">
        <v>45417.0</v>
      </c>
      <c r="C70" s="3" t="s">
        <v>215</v>
      </c>
      <c r="D70" s="3" t="s">
        <v>216</v>
      </c>
      <c r="E70" s="5" t="s">
        <v>168</v>
      </c>
      <c r="F70" s="6">
        <v>1.0</v>
      </c>
      <c r="G70" s="6">
        <v>75.0</v>
      </c>
      <c r="H70" s="6">
        <f t="shared" si="1"/>
        <v>75</v>
      </c>
      <c r="I70" s="5" t="s">
        <v>39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3" t="s">
        <v>217</v>
      </c>
      <c r="B71" s="4">
        <v>45418.0</v>
      </c>
      <c r="C71" s="3" t="s">
        <v>218</v>
      </c>
      <c r="D71" s="3" t="s">
        <v>219</v>
      </c>
      <c r="E71" s="5" t="s">
        <v>12</v>
      </c>
      <c r="F71" s="6">
        <v>1.0</v>
      </c>
      <c r="G71" s="6">
        <v>65.0</v>
      </c>
      <c r="H71" s="6">
        <f t="shared" si="1"/>
        <v>65</v>
      </c>
      <c r="I71" s="5" t="s">
        <v>13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3" t="s">
        <v>220</v>
      </c>
      <c r="B72" s="4">
        <v>45419.0</v>
      </c>
      <c r="C72" s="3" t="s">
        <v>221</v>
      </c>
      <c r="D72" s="3" t="s">
        <v>222</v>
      </c>
      <c r="E72" s="5" t="s">
        <v>177</v>
      </c>
      <c r="F72" s="6">
        <v>1.0</v>
      </c>
      <c r="G72" s="6">
        <v>120.0</v>
      </c>
      <c r="H72" s="6">
        <f t="shared" si="1"/>
        <v>120</v>
      </c>
      <c r="I72" s="5" t="s">
        <v>27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3" t="s">
        <v>223</v>
      </c>
      <c r="B73" s="4">
        <v>45420.0</v>
      </c>
      <c r="C73" s="3" t="s">
        <v>224</v>
      </c>
      <c r="D73" s="3" t="s">
        <v>225</v>
      </c>
      <c r="E73" s="5" t="s">
        <v>12</v>
      </c>
      <c r="F73" s="6">
        <v>1.0</v>
      </c>
      <c r="G73" s="6">
        <v>210.0</v>
      </c>
      <c r="H73" s="6">
        <f t="shared" si="1"/>
        <v>210</v>
      </c>
      <c r="I73" s="5" t="s">
        <v>55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3" t="s">
        <v>226</v>
      </c>
      <c r="B74" s="4">
        <v>45421.0</v>
      </c>
      <c r="C74" s="3" t="s">
        <v>227</v>
      </c>
      <c r="D74" s="3" t="s">
        <v>228</v>
      </c>
      <c r="E74" s="5" t="s">
        <v>38</v>
      </c>
      <c r="F74" s="6">
        <v>1.0</v>
      </c>
      <c r="G74" s="6">
        <v>190.0</v>
      </c>
      <c r="H74" s="6">
        <f t="shared" si="1"/>
        <v>190</v>
      </c>
      <c r="I74" s="5" t="s">
        <v>49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3" t="s">
        <v>229</v>
      </c>
      <c r="B75" s="4">
        <v>45422.0</v>
      </c>
      <c r="C75" s="3" t="s">
        <v>230</v>
      </c>
      <c r="D75" s="3" t="s">
        <v>231</v>
      </c>
      <c r="E75" s="5" t="s">
        <v>61</v>
      </c>
      <c r="F75" s="6">
        <v>2.0</v>
      </c>
      <c r="G75" s="6">
        <v>45.0</v>
      </c>
      <c r="H75" s="6">
        <f t="shared" si="1"/>
        <v>90</v>
      </c>
      <c r="I75" s="5" t="s">
        <v>62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3" t="s">
        <v>232</v>
      </c>
      <c r="B76" s="4">
        <v>45423.0</v>
      </c>
      <c r="C76" s="3" t="s">
        <v>15</v>
      </c>
      <c r="D76" s="3" t="s">
        <v>233</v>
      </c>
      <c r="E76" s="5" t="s">
        <v>12</v>
      </c>
      <c r="F76" s="6">
        <v>3.0</v>
      </c>
      <c r="G76" s="6">
        <v>25.0</v>
      </c>
      <c r="H76" s="6">
        <f t="shared" si="1"/>
        <v>75</v>
      </c>
      <c r="I76" s="5" t="s">
        <v>17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3" t="s">
        <v>234</v>
      </c>
      <c r="B77" s="4">
        <v>45424.0</v>
      </c>
      <c r="C77" s="3" t="s">
        <v>235</v>
      </c>
      <c r="D77" s="3" t="s">
        <v>236</v>
      </c>
      <c r="E77" s="5" t="s">
        <v>84</v>
      </c>
      <c r="F77" s="6">
        <v>2.0</v>
      </c>
      <c r="G77" s="6">
        <v>35.0</v>
      </c>
      <c r="H77" s="6">
        <f t="shared" si="1"/>
        <v>70</v>
      </c>
      <c r="I77" s="5" t="s">
        <v>76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3" t="s">
        <v>237</v>
      </c>
      <c r="B78" s="4">
        <v>45425.0</v>
      </c>
      <c r="C78" s="3" t="s">
        <v>238</v>
      </c>
      <c r="D78" s="3" t="s">
        <v>239</v>
      </c>
      <c r="E78" s="5" t="s">
        <v>12</v>
      </c>
      <c r="F78" s="6">
        <v>3.0</v>
      </c>
      <c r="G78" s="6">
        <v>30.0</v>
      </c>
      <c r="H78" s="6">
        <f t="shared" si="1"/>
        <v>90</v>
      </c>
      <c r="I78" s="5" t="s">
        <v>34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3" t="s">
        <v>240</v>
      </c>
      <c r="B79" s="4">
        <v>45426.0</v>
      </c>
      <c r="C79" s="3" t="s">
        <v>241</v>
      </c>
      <c r="D79" s="3" t="s">
        <v>242</v>
      </c>
      <c r="E79" s="5" t="s">
        <v>119</v>
      </c>
      <c r="F79" s="6">
        <v>2.0</v>
      </c>
      <c r="G79" s="6">
        <v>40.0</v>
      </c>
      <c r="H79" s="6">
        <f t="shared" si="1"/>
        <v>80</v>
      </c>
      <c r="I79" s="5" t="s">
        <v>70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3" t="s">
        <v>243</v>
      </c>
      <c r="B80" s="4">
        <v>45427.0</v>
      </c>
      <c r="C80" s="3" t="s">
        <v>24</v>
      </c>
      <c r="D80" s="3" t="s">
        <v>244</v>
      </c>
      <c r="E80" s="5" t="s">
        <v>26</v>
      </c>
      <c r="F80" s="6">
        <v>1.0</v>
      </c>
      <c r="G80" s="6">
        <v>185.0</v>
      </c>
      <c r="H80" s="6">
        <f t="shared" si="1"/>
        <v>185</v>
      </c>
      <c r="I80" s="5" t="s">
        <v>27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3" t="s">
        <v>245</v>
      </c>
      <c r="B81" s="4">
        <v>45428.0</v>
      </c>
      <c r="C81" s="3" t="s">
        <v>246</v>
      </c>
      <c r="D81" s="3" t="s">
        <v>247</v>
      </c>
      <c r="E81" s="5" t="s">
        <v>33</v>
      </c>
      <c r="F81" s="6">
        <v>1.0</v>
      </c>
      <c r="G81" s="6">
        <v>110.0</v>
      </c>
      <c r="H81" s="6">
        <f t="shared" si="1"/>
        <v>110</v>
      </c>
      <c r="I81" s="5" t="s">
        <v>22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3" t="s">
        <v>248</v>
      </c>
      <c r="B82" s="4">
        <v>45429.0</v>
      </c>
      <c r="C82" s="3" t="s">
        <v>249</v>
      </c>
      <c r="D82" s="3" t="s">
        <v>250</v>
      </c>
      <c r="E82" s="5" t="s">
        <v>12</v>
      </c>
      <c r="F82" s="6">
        <v>1.0</v>
      </c>
      <c r="G82" s="6">
        <v>55.0</v>
      </c>
      <c r="H82" s="6">
        <f t="shared" si="1"/>
        <v>55</v>
      </c>
      <c r="I82" s="5" t="s">
        <v>13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3" t="s">
        <v>251</v>
      </c>
      <c r="B83" s="4">
        <v>45430.0</v>
      </c>
      <c r="C83" s="3" t="s">
        <v>252</v>
      </c>
      <c r="D83" s="3" t="s">
        <v>253</v>
      </c>
      <c r="E83" s="5" t="s">
        <v>61</v>
      </c>
      <c r="F83" s="6">
        <v>1.0</v>
      </c>
      <c r="G83" s="6">
        <v>140.0</v>
      </c>
      <c r="H83" s="6">
        <f t="shared" si="1"/>
        <v>140</v>
      </c>
      <c r="I83" s="5" t="s">
        <v>85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3" t="s">
        <v>254</v>
      </c>
      <c r="B84" s="4">
        <v>45431.0</v>
      </c>
      <c r="C84" s="3" t="s">
        <v>36</v>
      </c>
      <c r="D84" s="3" t="s">
        <v>255</v>
      </c>
      <c r="E84" s="5" t="s">
        <v>119</v>
      </c>
      <c r="F84" s="6">
        <v>3.0</v>
      </c>
      <c r="G84" s="6">
        <v>25.0</v>
      </c>
      <c r="H84" s="6">
        <f t="shared" si="1"/>
        <v>75</v>
      </c>
      <c r="I84" s="5" t="s">
        <v>39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3" t="s">
        <v>256</v>
      </c>
      <c r="B85" s="4">
        <v>45432.0</v>
      </c>
      <c r="C85" s="3" t="s">
        <v>257</v>
      </c>
      <c r="D85" s="3" t="s">
        <v>258</v>
      </c>
      <c r="E85" s="5" t="s">
        <v>12</v>
      </c>
      <c r="F85" s="6">
        <v>1.0</v>
      </c>
      <c r="G85" s="6">
        <v>240.0</v>
      </c>
      <c r="H85" s="6">
        <f t="shared" si="1"/>
        <v>240</v>
      </c>
      <c r="I85" s="5" t="s">
        <v>17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3" t="s">
        <v>259</v>
      </c>
      <c r="B86" s="4">
        <v>45433.0</v>
      </c>
      <c r="C86" s="3" t="s">
        <v>260</v>
      </c>
      <c r="D86" s="3" t="s">
        <v>261</v>
      </c>
      <c r="E86" s="5" t="s">
        <v>168</v>
      </c>
      <c r="F86" s="6">
        <v>2.0</v>
      </c>
      <c r="G86" s="6">
        <v>30.0</v>
      </c>
      <c r="H86" s="6">
        <f t="shared" si="1"/>
        <v>60</v>
      </c>
      <c r="I86" s="5" t="s">
        <v>22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3" t="s">
        <v>262</v>
      </c>
      <c r="B87" s="4">
        <v>45434.0</v>
      </c>
      <c r="C87" s="3" t="s">
        <v>263</v>
      </c>
      <c r="D87" s="3" t="s">
        <v>264</v>
      </c>
      <c r="E87" s="5" t="s">
        <v>61</v>
      </c>
      <c r="F87" s="6">
        <v>1.0</v>
      </c>
      <c r="G87" s="6">
        <v>70.0</v>
      </c>
      <c r="H87" s="6">
        <f t="shared" si="1"/>
        <v>70</v>
      </c>
      <c r="I87" s="5" t="s">
        <v>49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3" t="s">
        <v>265</v>
      </c>
      <c r="B88" s="4">
        <v>45435.0</v>
      </c>
      <c r="C88" s="3" t="s">
        <v>266</v>
      </c>
      <c r="D88" s="3" t="s">
        <v>267</v>
      </c>
      <c r="E88" s="5" t="s">
        <v>12</v>
      </c>
      <c r="F88" s="6">
        <v>1.0</v>
      </c>
      <c r="G88" s="6">
        <v>190.0</v>
      </c>
      <c r="H88" s="6">
        <f t="shared" si="1"/>
        <v>190</v>
      </c>
      <c r="I88" s="5" t="s">
        <v>45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3" t="s">
        <v>268</v>
      </c>
      <c r="B89" s="4">
        <v>45436.0</v>
      </c>
      <c r="C89" s="3" t="s">
        <v>269</v>
      </c>
      <c r="D89" s="3" t="s">
        <v>270</v>
      </c>
      <c r="E89" s="5" t="s">
        <v>33</v>
      </c>
      <c r="F89" s="6">
        <v>1.0</v>
      </c>
      <c r="G89" s="6">
        <v>160.0</v>
      </c>
      <c r="H89" s="6">
        <f t="shared" si="1"/>
        <v>160</v>
      </c>
      <c r="I89" s="5" t="s">
        <v>27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3" t="s">
        <v>271</v>
      </c>
      <c r="B90" s="4">
        <v>45437.0</v>
      </c>
      <c r="C90" s="3" t="s">
        <v>272</v>
      </c>
      <c r="D90" s="3" t="s">
        <v>273</v>
      </c>
      <c r="E90" s="5" t="s">
        <v>38</v>
      </c>
      <c r="F90" s="6">
        <v>1.0</v>
      </c>
      <c r="G90" s="6">
        <v>95.0</v>
      </c>
      <c r="H90" s="6">
        <f t="shared" si="1"/>
        <v>95</v>
      </c>
      <c r="I90" s="5" t="s">
        <v>13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3" t="s">
        <v>274</v>
      </c>
      <c r="B91" s="4">
        <v>45438.0</v>
      </c>
      <c r="C91" s="3" t="s">
        <v>275</v>
      </c>
      <c r="D91" s="3" t="s">
        <v>276</v>
      </c>
      <c r="E91" s="5" t="s">
        <v>177</v>
      </c>
      <c r="F91" s="6">
        <v>1.0</v>
      </c>
      <c r="G91" s="6">
        <v>130.0</v>
      </c>
      <c r="H91" s="6">
        <f t="shared" si="1"/>
        <v>130</v>
      </c>
      <c r="I91" s="5" t="s">
        <v>34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3" t="s">
        <v>277</v>
      </c>
      <c r="B92" s="4">
        <v>45439.0</v>
      </c>
      <c r="C92" s="3" t="s">
        <v>278</v>
      </c>
      <c r="D92" s="3" t="s">
        <v>279</v>
      </c>
      <c r="E92" s="5" t="s">
        <v>12</v>
      </c>
      <c r="F92" s="6">
        <v>1.0</v>
      </c>
      <c r="G92" s="6">
        <v>60.0</v>
      </c>
      <c r="H92" s="6">
        <f t="shared" si="1"/>
        <v>60</v>
      </c>
      <c r="I92" s="5" t="s">
        <v>17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3" t="s">
        <v>280</v>
      </c>
      <c r="B93" s="4">
        <v>45440.0</v>
      </c>
      <c r="C93" s="3" t="s">
        <v>281</v>
      </c>
      <c r="D93" s="3" t="s">
        <v>282</v>
      </c>
      <c r="E93" s="5" t="s">
        <v>61</v>
      </c>
      <c r="F93" s="6">
        <v>1.0</v>
      </c>
      <c r="G93" s="6">
        <v>210.0</v>
      </c>
      <c r="H93" s="6">
        <f t="shared" si="1"/>
        <v>210</v>
      </c>
      <c r="I93" s="5" t="s">
        <v>22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3" t="s">
        <v>283</v>
      </c>
      <c r="B94" s="4">
        <v>45441.0</v>
      </c>
      <c r="C94" s="3" t="s">
        <v>284</v>
      </c>
      <c r="D94" s="3" t="s">
        <v>285</v>
      </c>
      <c r="E94" s="5" t="s">
        <v>168</v>
      </c>
      <c r="F94" s="6">
        <v>1.0</v>
      </c>
      <c r="G94" s="6">
        <v>320.0</v>
      </c>
      <c r="H94" s="6">
        <f t="shared" si="1"/>
        <v>320</v>
      </c>
      <c r="I94" s="5" t="s">
        <v>55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3" t="s">
        <v>286</v>
      </c>
      <c r="B95" s="4">
        <v>45442.0</v>
      </c>
      <c r="C95" s="3" t="s">
        <v>287</v>
      </c>
      <c r="D95" s="3" t="s">
        <v>288</v>
      </c>
      <c r="E95" s="5" t="s">
        <v>33</v>
      </c>
      <c r="F95" s="6">
        <v>1.0</v>
      </c>
      <c r="G95" s="6">
        <v>180.0</v>
      </c>
      <c r="H95" s="6">
        <f t="shared" si="1"/>
        <v>180</v>
      </c>
      <c r="I95" s="5" t="s">
        <v>13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3" t="s">
        <v>289</v>
      </c>
      <c r="B96" s="4">
        <v>45443.0</v>
      </c>
      <c r="C96" s="3" t="s">
        <v>290</v>
      </c>
      <c r="D96" s="3" t="s">
        <v>291</v>
      </c>
      <c r="E96" s="5" t="s">
        <v>12</v>
      </c>
      <c r="F96" s="6">
        <v>2.0</v>
      </c>
      <c r="G96" s="6">
        <v>30.0</v>
      </c>
      <c r="H96" s="6">
        <f t="shared" si="1"/>
        <v>60</v>
      </c>
      <c r="I96" s="5" t="s">
        <v>62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3" t="s">
        <v>292</v>
      </c>
      <c r="B97" s="4">
        <v>45444.0</v>
      </c>
      <c r="C97" s="3" t="s">
        <v>293</v>
      </c>
      <c r="D97" s="3" t="s">
        <v>294</v>
      </c>
      <c r="E97" s="5" t="s">
        <v>84</v>
      </c>
      <c r="F97" s="6">
        <v>2.0</v>
      </c>
      <c r="G97" s="6">
        <v>45.0</v>
      </c>
      <c r="H97" s="6">
        <f t="shared" si="1"/>
        <v>90</v>
      </c>
      <c r="I97" s="5" t="s">
        <v>27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3" t="s">
        <v>295</v>
      </c>
      <c r="B98" s="4">
        <v>45445.0</v>
      </c>
      <c r="C98" s="3" t="s">
        <v>296</v>
      </c>
      <c r="D98" s="3" t="s">
        <v>297</v>
      </c>
      <c r="E98" s="5" t="s">
        <v>12</v>
      </c>
      <c r="F98" s="6">
        <v>1.0</v>
      </c>
      <c r="G98" s="6">
        <v>85.0</v>
      </c>
      <c r="H98" s="6">
        <f t="shared" si="1"/>
        <v>85</v>
      </c>
      <c r="I98" s="5" t="s">
        <v>49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3" t="s">
        <v>298</v>
      </c>
      <c r="B99" s="4">
        <v>45446.0</v>
      </c>
      <c r="C99" s="3" t="s">
        <v>299</v>
      </c>
      <c r="D99" s="3" t="s">
        <v>300</v>
      </c>
      <c r="E99" s="5" t="s">
        <v>61</v>
      </c>
      <c r="F99" s="6">
        <v>1.0</v>
      </c>
      <c r="G99" s="6">
        <v>120.0</v>
      </c>
      <c r="H99" s="6">
        <f t="shared" si="1"/>
        <v>120</v>
      </c>
      <c r="I99" s="5" t="s">
        <v>34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3" t="s">
        <v>301</v>
      </c>
      <c r="B100" s="4">
        <v>45447.0</v>
      </c>
      <c r="C100" s="3" t="s">
        <v>302</v>
      </c>
      <c r="D100" s="3" t="s">
        <v>303</v>
      </c>
      <c r="E100" s="5" t="s">
        <v>12</v>
      </c>
      <c r="F100" s="6">
        <v>1.0</v>
      </c>
      <c r="G100" s="6">
        <v>55.0</v>
      </c>
      <c r="H100" s="6">
        <f t="shared" si="1"/>
        <v>55</v>
      </c>
      <c r="I100" s="5" t="s">
        <v>17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3" t="s">
        <v>304</v>
      </c>
      <c r="B101" s="4">
        <v>45448.0</v>
      </c>
      <c r="C101" s="3" t="s">
        <v>305</v>
      </c>
      <c r="D101" s="3" t="s">
        <v>306</v>
      </c>
      <c r="E101" s="5" t="s">
        <v>168</v>
      </c>
      <c r="F101" s="6">
        <v>1.0</v>
      </c>
      <c r="G101" s="6">
        <v>75.0</v>
      </c>
      <c r="H101" s="6">
        <f t="shared" si="1"/>
        <v>75</v>
      </c>
      <c r="I101" s="5" t="s">
        <v>22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</sheetData>
  <dataValidations>
    <dataValidation type="list" allowBlank="1" showDropDown="1" showErrorMessage="1" sqref="E2:E101">
      <formula1>"Electronics,Clothing,Footwear,Home Appliances,Furniture,Home Decor,Accessories,Office Supplies,Sports,Personal Care"</formula1>
    </dataValidation>
    <dataValidation type="list" allowBlank="1" showDropDown="1" showErrorMessage="1" sqref="I2:I101">
      <formula1>"Germany,France,Spain,Italy,Netherlands,Poland,Sweden,Austria,Finland,Belgium,Denmark,Ireland,Portugal,Czech Republic,Slovakia,Hungary,Slovenia"</formula1>
    </dataValidation>
    <dataValidation type="custom" allowBlank="1" showDropDown="1" sqref="B2:B101">
      <formula1>OR(NOT(ISERROR(DATEVALUE(B2))), AND(ISNUMBER(B2), LEFT(CELL("format", B2))="D"))</formula1>
    </dataValidation>
    <dataValidation type="custom" allowBlank="1" showDropDown="1" sqref="F2:H10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3" width="20.75"/>
  </cols>
  <sheetData>
    <row r="1" ht="22.5" customHeight="1">
      <c r="A1" s="11" t="s">
        <v>307</v>
      </c>
      <c r="B1" s="11" t="s">
        <v>308</v>
      </c>
      <c r="C1" s="11" t="s">
        <v>309</v>
      </c>
    </row>
    <row r="2" ht="22.5" customHeight="1">
      <c r="A2" s="5" t="s">
        <v>26</v>
      </c>
      <c r="B2" s="12">
        <f>sumif(general_info!E2:E101,A2,general_info!F2:F101)</f>
        <v>11</v>
      </c>
      <c r="C2" s="13">
        <f>sumif(general_info!E2:E101,A2,general_info!H2:H100)</f>
        <v>1360</v>
      </c>
    </row>
    <row r="5" ht="22.5" customHeight="1">
      <c r="A5" s="11" t="s">
        <v>2</v>
      </c>
      <c r="B5" s="11" t="s">
        <v>310</v>
      </c>
      <c r="C5" s="7"/>
    </row>
    <row r="6" ht="22.5" customHeight="1">
      <c r="A6" s="5" t="s">
        <v>68</v>
      </c>
      <c r="B6" s="12" t="str">
        <f>IFERROR(__xludf.DUMMYFUNCTION("Textjoin("", "" , TRUE, FILTER(general_info!D2:D101, general_info!C2:C101=A6))"),"Air Fryer, Electric Kettle, Rice Cooker")</f>
        <v>Air Fryer, Electric Kettle, Rice Cooker</v>
      </c>
      <c r="C6" s="7"/>
    </row>
    <row r="7">
      <c r="A7" s="7"/>
      <c r="B7" s="7"/>
      <c r="C7" s="7"/>
    </row>
    <row r="8">
      <c r="A8" s="7"/>
      <c r="B8" s="7"/>
      <c r="C8" s="7"/>
    </row>
    <row r="9" ht="22.5" customHeight="1">
      <c r="A9" s="11" t="s">
        <v>8</v>
      </c>
      <c r="B9" s="11" t="s">
        <v>311</v>
      </c>
      <c r="C9" s="11" t="s">
        <v>312</v>
      </c>
    </row>
    <row r="10" ht="22.5" customHeight="1">
      <c r="A10" s="5" t="s">
        <v>34</v>
      </c>
      <c r="B10" s="12" t="str">
        <f>IFERROR(__xludf.DUMMYFUNCTION("TEXTJOIN("", "", True, Unique(FILTER(general_info!E2:E101, general_info!I2:I101=A10)))"),"Home Appliances, Electronics, Personal Care, Home Decor")</f>
        <v>Home Appliances, Electronics, Personal Care, Home Decor</v>
      </c>
      <c r="C10" s="12" t="str">
        <f>IFERROR(__xludf.DUMMYFUNCTION("TEXTJOIN("", "", True, Unique(FILTER(general_info!D2:D101, general_info!I2:I101=A10)))"),"Coffee Maker, Vacuum Cleaner, Microwave Oven, Smart Light Bulb, Air Purifier, Smart Plug, Smart Scale, Minimalist Wall Shelf")</f>
        <v>Coffee Maker, Vacuum Cleaner, Microwave Oven, Smart Light Bulb, Air Purifier, Smart Plug, Smart Scale, Minimalist Wall Shelf</v>
      </c>
    </row>
  </sheetData>
  <dataValidations>
    <dataValidation type="list" allowBlank="1" showErrorMessage="1" sqref="A2 A6 A10">
      <formula1>#REF!</formula1>
    </dataValidation>
    <dataValidation type="custom" allowBlank="1" showDropDown="1" sqref="C2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7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6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